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Analysis" sheetId="2" state="visible" r:id="rId4"/>
    <sheet name="Figur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3" authorId="0">
      <text>
        <r>
          <rPr>
            <sz val="10"/>
            <rFont val="Arial"/>
            <family val="2"/>
          </rPr>
          <t xml:space="preserve">Rule inferred from the data: "down" was the correct key on every trial with a tilt (left or right), and "up" on every trial with 0 tilt.</t>
        </r>
      </text>
    </comment>
  </commentList>
</comments>
</file>

<file path=xl/sharedStrings.xml><?xml version="1.0" encoding="utf-8"?>
<sst xmlns="http://schemas.openxmlformats.org/spreadsheetml/2006/main" count="684" uniqueCount="89">
  <si>
    <t xml:space="preserve">thisN</t>
  </si>
  <si>
    <t xml:space="preserve">thisTrialN</t>
  </si>
  <si>
    <t xml:space="preserve">thisRepN</t>
  </si>
  <si>
    <t xml:space="preserve">key_resp.keys</t>
  </si>
  <si>
    <t xml:space="preserve">key_resp.corr</t>
  </si>
  <si>
    <t xml:space="preserve">key_resp.rt</t>
  </si>
  <si>
    <t xml:space="preserve">key_resp.duration</t>
  </si>
  <si>
    <t xml:space="preserve">tilt</t>
  </si>
  <si>
    <t xml:space="preserve">trials.thisRepN</t>
  </si>
  <si>
    <t xml:space="preserve">trials.thisTrialN</t>
  </si>
  <si>
    <t xml:space="preserve">trials.thisN</t>
  </si>
  <si>
    <t xml:space="preserve">trials.thisIndex</t>
  </si>
  <si>
    <t xml:space="preserve">thisRow.t</t>
  </si>
  <si>
    <t xml:space="preserve">notes</t>
  </si>
  <si>
    <t xml:space="preserve">piloting</t>
  </si>
  <si>
    <t xml:space="preserve">trial.started</t>
  </si>
  <si>
    <t xml:space="preserve">fixation.started</t>
  </si>
  <si>
    <t xml:space="preserve">key_resp.started</t>
  </si>
  <si>
    <t xml:space="preserve">fixation.stopped</t>
  </si>
  <si>
    <t xml:space="preserve">trial.stopped</t>
  </si>
  <si>
    <t xml:space="preserve">trials.key_resp.keys</t>
  </si>
  <si>
    <t xml:space="preserve">trials.key_resp.corr</t>
  </si>
  <si>
    <t xml:space="preserve">trials.key_resp.rt</t>
  </si>
  <si>
    <t xml:space="preserve">trials.key_resp.duration</t>
  </si>
  <si>
    <t xml:space="preserve">trials.tilt</t>
  </si>
  <si>
    <t xml:space="preserve">participant</t>
  </si>
  <si>
    <t xml:space="preserve">session</t>
  </si>
  <si>
    <t xml:space="preserve">date</t>
  </si>
  <si>
    <t xml:space="preserve">expName</t>
  </si>
  <si>
    <t xml:space="preserve">expVersion</t>
  </si>
  <si>
    <t xml:space="preserve">psychopyVersion</t>
  </si>
  <si>
    <t xml:space="preserve">frameRate</t>
  </si>
  <si>
    <t xml:space="preserve">expStart</t>
  </si>
  <si>
    <t xml:space="preserve">up</t>
  </si>
  <si>
    <t xml:space="preserve">2026-10-07_21h18.51.427</t>
  </si>
  <si>
    <t xml:space="preserve">orientation discriminatin task</t>
  </si>
  <si>
    <t xml:space="preserve">2026.2.4</t>
  </si>
  <si>
    <t xml:space="preserve">2026-10-07 21h18.51.473378 +0530</t>
  </si>
  <si>
    <t xml:space="preserve">down</t>
  </si>
  <si>
    <t xml:space="preserve">Signal Detection Experiment – d' and Criterion (c) Analysis</t>
  </si>
  <si>
    <t xml:space="preserve">Source: PsychoPy output for participant 176374, session 1 (Data sheet). Green = pulled from Data sheet, black = calculated.</t>
  </si>
  <si>
    <t xml:space="preserve">Trial</t>
  </si>
  <si>
    <t xml:space="preserve">Tilt (deg)</t>
  </si>
  <si>
    <t xml:space="preserve">Size of tilt (deg)</t>
  </si>
  <si>
    <t xml:space="preserve">Key pressed</t>
  </si>
  <si>
    <t xml:space="preserve">Said "tilted" (1 = down key)</t>
  </si>
  <si>
    <t xml:space="preserve">Recorded correct (PsychoPy)</t>
  </si>
  <si>
    <t xml:space="preserve">Re-scored correct (rule)</t>
  </si>
  <si>
    <t xml:space="preserve">Outcome</t>
  </si>
  <si>
    <t xml:space="preserve">Recorded vs re-scored</t>
  </si>
  <si>
    <t xml:space="preserve">Signal detection summary</t>
  </si>
  <si>
    <t xml:space="preserve">Value</t>
  </si>
  <si>
    <t xml:space="preserve">Signal trials (tilt present)</t>
  </si>
  <si>
    <t xml:space="preserve">Noise trials (no tilt, 0 deg)</t>
  </si>
  <si>
    <t xml:space="preserve">Hits (signal trial, said tilted)</t>
  </si>
  <si>
    <t xml:space="preserve">Misses (signal trial, said not tilted)</t>
  </si>
  <si>
    <t xml:space="preserve">False alarms (noise trial, said tilted)</t>
  </si>
  <si>
    <t xml:space="preserve">Correct rejections (noise trial, said not tilted)</t>
  </si>
  <si>
    <t xml:space="preserve">Hit rate = Hits / signal trials</t>
  </si>
  <si>
    <t xml:space="preserve">False alarm rate = False alarms / noise trials</t>
  </si>
  <si>
    <t xml:space="preserve">d' (sensitivity) = z(Hit rate) - z(False alarm rate)</t>
  </si>
  <si>
    <t xml:space="preserve">Criterion c = -0.5 [z(Hit rate) + z(False alarm rate)]</t>
  </si>
  <si>
    <t xml:space="preserve">Check with log-linear correction (not needed, no rate is 0 or 1)</t>
  </si>
  <si>
    <t xml:space="preserve">Hit rate, corrected  (Hits + 0.5) / (signal trials + 1)</t>
  </si>
  <si>
    <t xml:space="preserve">False alarm rate, corrected</t>
  </si>
  <si>
    <t xml:space="preserve">d' (corrected)</t>
  </si>
  <si>
    <t xml:space="preserve">c (corrected)</t>
  </si>
  <si>
    <t xml:space="preserve">Accuracy</t>
  </si>
  <si>
    <t xml:space="preserve">Accuracy as recorded by PsychoPy</t>
  </si>
  <si>
    <t xml:space="preserve">Accuracy re-scored with the rule (tilt = down, no tilt = up)</t>
  </si>
  <si>
    <t xml:space="preserve">Trials where the two disagree</t>
  </si>
  <si>
    <t xml:space="preserve">Mean response time (s)</t>
  </si>
  <si>
    <t xml:space="preserve">Mean response time, correct trials (s)</t>
  </si>
  <si>
    <t xml:space="preserve">Mean response time, incorrect trials (s)</t>
  </si>
  <si>
    <t xml:space="preserve">Proportion of "tilted" responses by size of tilt</t>
  </si>
  <si>
    <t xml:space="preserve">Trials</t>
  </si>
  <si>
    <t xml:space="preserve">Said "tilted"</t>
  </si>
  <si>
    <t xml:space="preserve">Proportion</t>
  </si>
  <si>
    <t xml:space="preserve">Tilt at which "tilted" responses reach 50% (linear interpolation between 2 and 3 deg)</t>
  </si>
  <si>
    <t xml:space="preserve">"Tilted" responses, left tilts (negative)</t>
  </si>
  <si>
    <t xml:space="preserve">"Tilted" responses, right tilts (positive)</t>
  </si>
  <si>
    <t xml:space="preserve">Notes</t>
  </si>
  <si>
    <t xml:space="preserve">Rule used for re-scoring: "down" is the correct key whenever the grating is tilted (left or right) and "up" when the tilt is 0.</t>
  </si>
  <si>
    <t xml:space="preserve">Signal = tilted grating (any tilt other than 0), noise = grating with no tilt. d' and c use the plain z-score formulas; the log-linear check only confirms the values barely change.</t>
  </si>
  <si>
    <t xml:space="preserve">The interpolated 50% point is rough: each tilt size has only 4 to 10 trials.</t>
  </si>
  <si>
    <t xml:space="preserve">Figures (identical to the figures in the lab report)</t>
  </si>
  <si>
    <t xml:space="preserve">Figure 1. Stimulus - Sinusoidal grating with a Gaussian mask (shown with a 5 degree tilt)</t>
  </si>
  <si>
    <t xml:space="preserve">Figure 2. Number of hits, misses, false alarms and correct rejections over the 100 trials.</t>
  </si>
  <si>
    <t xml:space="preserve">Figure 3. Proportion of "tilted" responses at each size of tilt over the 100 trials.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</si>
</sst>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"/>
    <numFmt numFmtId="167" formatCode="0.000"/>
    <numFmt numFmtId="168" formatCode="0.00"/>
    <numFmt numFmtId="169" formatCode="0.0%"/>
    <numFmt numFmtId="170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i val="true"/>
      <sz val="9"/>
      <color rgb="FF2F549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175680</xdr:rowOff>
    </xdr:from>
    <xdr:to>
      <xdr:col>0</xdr:col>
      <xdr:colOff>2152440</xdr:colOff>
      <xdr:row>13</xdr:row>
      <xdr:rowOff>42120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380880"/>
          <a:ext cx="2152440" cy="2152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</xdr:row>
      <xdr:rowOff>176040</xdr:rowOff>
    </xdr:from>
    <xdr:to>
      <xdr:col>0</xdr:col>
      <xdr:colOff>5486040</xdr:colOff>
      <xdr:row>31</xdr:row>
      <xdr:rowOff>80280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3429000"/>
          <a:ext cx="5486040" cy="2571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35</xdr:row>
      <xdr:rowOff>176040</xdr:rowOff>
    </xdr:from>
    <xdr:to>
      <xdr:col>0</xdr:col>
      <xdr:colOff>5486040</xdr:colOff>
      <xdr:row>50</xdr:row>
      <xdr:rowOff>146880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0" y="6858000"/>
          <a:ext cx="5486040" cy="2828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3" min="1" style="0" width="16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customFormat="false" ht="15" hidden="false" customHeight="false" outlineLevel="0" collapsed="false">
      <c r="A2" s="2" t="n">
        <v>0</v>
      </c>
      <c r="B2" s="2" t="n">
        <v>0</v>
      </c>
      <c r="C2" s="2" t="n">
        <v>0</v>
      </c>
      <c r="D2" s="2" t="s">
        <v>33</v>
      </c>
      <c r="E2" s="2" t="n">
        <v>1</v>
      </c>
      <c r="F2" s="2" t="n">
        <v>0.696773900650442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0.010207200422883</v>
      </c>
      <c r="O2" s="3" t="b">
        <f aca="false">FALSE()</f>
        <v>0</v>
      </c>
      <c r="P2" s="2" t="n">
        <v>0.0081043001264333</v>
      </c>
      <c r="Q2" s="2" t="n">
        <v>0.010207200422883</v>
      </c>
      <c r="R2" s="2" t="n">
        <v>0.997278400696814</v>
      </c>
      <c r="S2" s="2" t="n">
        <v>1.00026250071824</v>
      </c>
      <c r="T2" s="2" t="n">
        <v>1.72084880061448</v>
      </c>
      <c r="U2" s="2" t="s">
        <v>33</v>
      </c>
      <c r="V2" s="2" t="n">
        <v>1</v>
      </c>
      <c r="W2" s="2" t="n">
        <v>0.696773900650442</v>
      </c>
      <c r="Y2" s="2" t="n">
        <v>0</v>
      </c>
      <c r="Z2" s="2" t="n">
        <v>176374</v>
      </c>
      <c r="AA2" s="2" t="n">
        <v>1</v>
      </c>
      <c r="AB2" s="2" t="s">
        <v>34</v>
      </c>
      <c r="AC2" s="2" t="s">
        <v>35</v>
      </c>
      <c r="AE2" s="2" t="s">
        <v>36</v>
      </c>
      <c r="AF2" s="2" t="n">
        <v>119.92133056139</v>
      </c>
      <c r="AG2" s="2" t="s">
        <v>37</v>
      </c>
    </row>
    <row r="3" customFormat="false" ht="15" hidden="false" customHeight="false" outlineLevel="0" collapsed="false">
      <c r="A3" s="2" t="n">
        <v>1</v>
      </c>
      <c r="B3" s="2" t="n">
        <v>0</v>
      </c>
      <c r="C3" s="2" t="n">
        <v>1</v>
      </c>
      <c r="D3" s="2" t="s">
        <v>33</v>
      </c>
      <c r="E3" s="2" t="n">
        <v>1</v>
      </c>
      <c r="F3" s="2" t="n">
        <v>0.50658390019089</v>
      </c>
      <c r="H3" s="2" t="n">
        <v>0</v>
      </c>
      <c r="I3" s="2" t="n">
        <v>1</v>
      </c>
      <c r="J3" s="2" t="n">
        <v>0</v>
      </c>
      <c r="K3" s="2" t="n">
        <v>1</v>
      </c>
      <c r="L3" s="2" t="n">
        <v>0</v>
      </c>
      <c r="M3" s="2" t="n">
        <v>1.72414380032569</v>
      </c>
      <c r="P3" s="2" t="n">
        <v>1.72116130031645</v>
      </c>
      <c r="Q3" s="2" t="n">
        <v>1.72414380032569</v>
      </c>
      <c r="R3" s="2" t="n">
        <v>2.71718280017376</v>
      </c>
      <c r="S3" s="2" t="n">
        <v>2.71718280017376</v>
      </c>
      <c r="T3" s="2" t="n">
        <v>3.22630580049008</v>
      </c>
      <c r="U3" s="2" t="s">
        <v>33</v>
      </c>
      <c r="V3" s="2" t="n">
        <v>1</v>
      </c>
      <c r="W3" s="2" t="n">
        <v>0.50658390019089</v>
      </c>
      <c r="Y3" s="2" t="n">
        <v>0</v>
      </c>
      <c r="Z3" s="2" t="n">
        <v>176374</v>
      </c>
      <c r="AA3" s="2" t="n">
        <v>1</v>
      </c>
      <c r="AB3" s="2" t="s">
        <v>34</v>
      </c>
      <c r="AC3" s="2" t="s">
        <v>35</v>
      </c>
      <c r="AE3" s="2" t="s">
        <v>36</v>
      </c>
      <c r="AF3" s="2" t="n">
        <v>119.92133056139</v>
      </c>
      <c r="AG3" s="2" t="s">
        <v>37</v>
      </c>
    </row>
    <row r="4" customFormat="false" ht="15" hidden="false" customHeight="false" outlineLevel="0" collapsed="false">
      <c r="A4" s="2" t="n">
        <v>2</v>
      </c>
      <c r="B4" s="2" t="n">
        <v>0</v>
      </c>
      <c r="C4" s="2" t="n">
        <v>2</v>
      </c>
      <c r="D4" s="2" t="s">
        <v>33</v>
      </c>
      <c r="E4" s="2" t="n">
        <v>1</v>
      </c>
      <c r="F4" s="2" t="n">
        <v>0.482301900163293</v>
      </c>
      <c r="H4" s="2" t="n">
        <v>0</v>
      </c>
      <c r="I4" s="2" t="n">
        <v>2</v>
      </c>
      <c r="J4" s="2" t="n">
        <v>0</v>
      </c>
      <c r="K4" s="2" t="n">
        <v>2</v>
      </c>
      <c r="L4" s="2" t="n">
        <v>0</v>
      </c>
      <c r="M4" s="2" t="n">
        <v>3.23341980017722</v>
      </c>
      <c r="P4" s="2" t="n">
        <v>3.22675650008023</v>
      </c>
      <c r="Q4" s="2" t="n">
        <v>3.23341980017722</v>
      </c>
      <c r="R4" s="2" t="n">
        <v>4.21718250028789</v>
      </c>
      <c r="S4" s="2" t="n">
        <v>4.22557710018009</v>
      </c>
      <c r="T4" s="2" t="n">
        <v>4.70075240079314</v>
      </c>
      <c r="U4" s="2" t="s">
        <v>33</v>
      </c>
      <c r="V4" s="2" t="n">
        <v>1</v>
      </c>
      <c r="W4" s="2" t="n">
        <v>0.482301900163293</v>
      </c>
      <c r="Y4" s="2" t="n">
        <v>0</v>
      </c>
      <c r="Z4" s="2" t="n">
        <v>176374</v>
      </c>
      <c r="AA4" s="2" t="n">
        <v>1</v>
      </c>
      <c r="AB4" s="2" t="s">
        <v>34</v>
      </c>
      <c r="AC4" s="2" t="s">
        <v>35</v>
      </c>
      <c r="AE4" s="2" t="s">
        <v>36</v>
      </c>
      <c r="AF4" s="2" t="n">
        <v>119.92133056139</v>
      </c>
      <c r="AG4" s="2" t="s">
        <v>37</v>
      </c>
    </row>
    <row r="5" customFormat="false" ht="15" hidden="false" customHeight="false" outlineLevel="0" collapsed="false">
      <c r="A5" s="2" t="n">
        <v>3</v>
      </c>
      <c r="B5" s="2" t="n">
        <v>0</v>
      </c>
      <c r="C5" s="2" t="n">
        <v>3</v>
      </c>
      <c r="D5" s="2" t="s">
        <v>33</v>
      </c>
      <c r="E5" s="2" t="n">
        <v>0</v>
      </c>
      <c r="F5" s="2" t="n">
        <v>0.448492499999702</v>
      </c>
      <c r="H5" s="2" t="n">
        <v>1</v>
      </c>
      <c r="I5" s="2" t="n">
        <v>3</v>
      </c>
      <c r="J5" s="2" t="n">
        <v>0</v>
      </c>
      <c r="K5" s="2" t="n">
        <v>3</v>
      </c>
      <c r="L5" s="2" t="n">
        <v>0</v>
      </c>
      <c r="M5" s="2" t="n">
        <v>4.70853200089186</v>
      </c>
      <c r="P5" s="2" t="n">
        <v>4.70109800063074</v>
      </c>
      <c r="Q5" s="2" t="n">
        <v>4.70853200089186</v>
      </c>
      <c r="R5" s="2" t="n">
        <v>5.69165410008282</v>
      </c>
      <c r="S5" s="2" t="n">
        <v>5.70023550000042</v>
      </c>
      <c r="T5" s="2" t="n">
        <v>6.14237410016358</v>
      </c>
      <c r="U5" s="2" t="s">
        <v>33</v>
      </c>
      <c r="V5" s="2" t="n">
        <v>0</v>
      </c>
      <c r="W5" s="2" t="n">
        <v>0.448492499999702</v>
      </c>
      <c r="Y5" s="2" t="n">
        <v>1</v>
      </c>
      <c r="Z5" s="2" t="n">
        <v>176374</v>
      </c>
      <c r="AA5" s="2" t="n">
        <v>1</v>
      </c>
      <c r="AB5" s="2" t="s">
        <v>34</v>
      </c>
      <c r="AC5" s="2" t="s">
        <v>35</v>
      </c>
      <c r="AE5" s="2" t="s">
        <v>36</v>
      </c>
      <c r="AF5" s="2" t="n">
        <v>119.92133056139</v>
      </c>
      <c r="AG5" s="2" t="s">
        <v>37</v>
      </c>
    </row>
    <row r="6" customFormat="false" ht="15" hidden="false" customHeight="false" outlineLevel="0" collapsed="false">
      <c r="A6" s="2" t="n">
        <v>4</v>
      </c>
      <c r="B6" s="2" t="n">
        <v>0</v>
      </c>
      <c r="C6" s="2" t="n">
        <v>4</v>
      </c>
      <c r="D6" s="2" t="s">
        <v>38</v>
      </c>
      <c r="E6" s="2" t="n">
        <v>1</v>
      </c>
      <c r="F6" s="2" t="n">
        <v>1.03883150033653</v>
      </c>
      <c r="H6" s="2" t="n">
        <v>4</v>
      </c>
      <c r="I6" s="2" t="n">
        <v>4</v>
      </c>
      <c r="J6" s="2" t="n">
        <v>0</v>
      </c>
      <c r="K6" s="2" t="n">
        <v>4</v>
      </c>
      <c r="L6" s="2" t="n">
        <v>0</v>
      </c>
      <c r="M6" s="2" t="n">
        <v>6.15006540063769</v>
      </c>
      <c r="P6" s="2" t="n">
        <v>6.14299290068448</v>
      </c>
      <c r="Q6" s="2" t="n">
        <v>6.15006540063769</v>
      </c>
      <c r="R6" s="2" t="n">
        <v>7.13346570078284</v>
      </c>
      <c r="S6" s="2" t="n">
        <v>7.14164610020816</v>
      </c>
      <c r="T6" s="2" t="n">
        <v>8.17579220049083</v>
      </c>
      <c r="U6" s="2" t="s">
        <v>38</v>
      </c>
      <c r="V6" s="2" t="n">
        <v>1</v>
      </c>
      <c r="W6" s="2" t="n">
        <v>1.03883150033653</v>
      </c>
      <c r="Y6" s="2" t="n">
        <v>4</v>
      </c>
      <c r="Z6" s="2" t="n">
        <v>176374</v>
      </c>
      <c r="AA6" s="2" t="n">
        <v>1</v>
      </c>
      <c r="AB6" s="2" t="s">
        <v>34</v>
      </c>
      <c r="AC6" s="2" t="s">
        <v>35</v>
      </c>
      <c r="AE6" s="2" t="s">
        <v>36</v>
      </c>
      <c r="AF6" s="2" t="n">
        <v>119.92133056139</v>
      </c>
      <c r="AG6" s="2" t="s">
        <v>37</v>
      </c>
    </row>
    <row r="7" customFormat="false" ht="15" hidden="false" customHeight="false" outlineLevel="0" collapsed="false">
      <c r="A7" s="2" t="n">
        <v>5</v>
      </c>
      <c r="B7" s="2" t="n">
        <v>0</v>
      </c>
      <c r="C7" s="2" t="n">
        <v>5</v>
      </c>
      <c r="D7" s="2" t="s">
        <v>33</v>
      </c>
      <c r="E7" s="2" t="n">
        <v>0</v>
      </c>
      <c r="F7" s="2" t="n">
        <v>1.22930090036243</v>
      </c>
      <c r="H7" s="2" t="n">
        <v>-1</v>
      </c>
      <c r="I7" s="2" t="n">
        <v>5</v>
      </c>
      <c r="J7" s="2" t="n">
        <v>0</v>
      </c>
      <c r="K7" s="2" t="n">
        <v>5</v>
      </c>
      <c r="L7" s="2" t="n">
        <v>0</v>
      </c>
      <c r="M7" s="2" t="n">
        <v>8.1834880001843</v>
      </c>
      <c r="P7" s="2" t="n">
        <v>8.17622550018132</v>
      </c>
      <c r="Q7" s="2" t="n">
        <v>8.1834880001843</v>
      </c>
      <c r="R7" s="2" t="n">
        <v>9.16661620046943</v>
      </c>
      <c r="S7" s="2" t="n">
        <v>9.17518390063196</v>
      </c>
      <c r="T7" s="2" t="n">
        <v>10.4006748003885</v>
      </c>
      <c r="U7" s="2" t="s">
        <v>33</v>
      </c>
      <c r="V7" s="2" t="n">
        <v>0</v>
      </c>
      <c r="W7" s="2" t="n">
        <v>1.22930090036243</v>
      </c>
      <c r="Y7" s="2" t="n">
        <v>-1</v>
      </c>
      <c r="Z7" s="2" t="n">
        <v>176374</v>
      </c>
      <c r="AA7" s="2" t="n">
        <v>1</v>
      </c>
      <c r="AB7" s="2" t="s">
        <v>34</v>
      </c>
      <c r="AC7" s="2" t="s">
        <v>35</v>
      </c>
      <c r="AE7" s="2" t="s">
        <v>36</v>
      </c>
      <c r="AF7" s="2" t="n">
        <v>119.92133056139</v>
      </c>
      <c r="AG7" s="2" t="s">
        <v>37</v>
      </c>
    </row>
    <row r="8" customFormat="false" ht="15" hidden="false" customHeight="false" outlineLevel="0" collapsed="false">
      <c r="A8" s="2" t="n">
        <v>6</v>
      </c>
      <c r="B8" s="2" t="n">
        <v>0</v>
      </c>
      <c r="C8" s="2" t="n">
        <v>6</v>
      </c>
      <c r="D8" s="2" t="s">
        <v>33</v>
      </c>
      <c r="E8" s="2" t="n">
        <v>0</v>
      </c>
      <c r="F8" s="2" t="n">
        <v>0.738157499581575</v>
      </c>
      <c r="H8" s="2" t="n">
        <v>-4</v>
      </c>
      <c r="I8" s="2" t="n">
        <v>6</v>
      </c>
      <c r="J8" s="2" t="n">
        <v>0</v>
      </c>
      <c r="K8" s="2" t="n">
        <v>6</v>
      </c>
      <c r="L8" s="2" t="n">
        <v>0</v>
      </c>
      <c r="M8" s="2" t="n">
        <v>10.4082918008789</v>
      </c>
      <c r="P8" s="2" t="n">
        <v>10.4012000001967</v>
      </c>
      <c r="Q8" s="2" t="n">
        <v>10.4082918008789</v>
      </c>
      <c r="R8" s="2" t="n">
        <v>11.39273850061</v>
      </c>
      <c r="S8" s="2" t="n">
        <v>11.4005091004074</v>
      </c>
      <c r="T8" s="2" t="n">
        <v>12.1341226007789</v>
      </c>
      <c r="U8" s="2" t="s">
        <v>33</v>
      </c>
      <c r="V8" s="2" t="n">
        <v>0</v>
      </c>
      <c r="W8" s="2" t="n">
        <v>0.738157499581575</v>
      </c>
      <c r="Y8" s="2" t="n">
        <v>-4</v>
      </c>
      <c r="Z8" s="2" t="n">
        <v>176374</v>
      </c>
      <c r="AA8" s="2" t="n">
        <v>1</v>
      </c>
      <c r="AB8" s="2" t="s">
        <v>34</v>
      </c>
      <c r="AC8" s="2" t="s">
        <v>35</v>
      </c>
      <c r="AE8" s="2" t="s">
        <v>36</v>
      </c>
      <c r="AF8" s="2" t="n">
        <v>119.92133056139</v>
      </c>
      <c r="AG8" s="2" t="s">
        <v>37</v>
      </c>
    </row>
    <row r="9" customFormat="false" ht="15" hidden="false" customHeight="false" outlineLevel="0" collapsed="false">
      <c r="A9" s="2" t="n">
        <v>7</v>
      </c>
      <c r="B9" s="2" t="n">
        <v>0</v>
      </c>
      <c r="C9" s="2" t="n">
        <v>7</v>
      </c>
      <c r="D9" s="2" t="s">
        <v>38</v>
      </c>
      <c r="E9" s="2" t="n">
        <v>0</v>
      </c>
      <c r="F9" s="2" t="n">
        <v>1.78239339962602</v>
      </c>
      <c r="H9" s="2" t="n">
        <v>0</v>
      </c>
      <c r="I9" s="2" t="n">
        <v>7</v>
      </c>
      <c r="J9" s="2" t="n">
        <v>0</v>
      </c>
      <c r="K9" s="2" t="n">
        <v>7</v>
      </c>
      <c r="L9" s="2" t="n">
        <v>0</v>
      </c>
      <c r="M9" s="2" t="n">
        <v>12.1413551000878</v>
      </c>
      <c r="P9" s="2" t="n">
        <v>12.1345080006868</v>
      </c>
      <c r="Q9" s="2" t="n">
        <v>12.1413551000878</v>
      </c>
      <c r="R9" s="2" t="n">
        <v>13.1250332007185</v>
      </c>
      <c r="S9" s="2" t="n">
        <v>13.1343288002536</v>
      </c>
      <c r="T9" s="2" t="n">
        <v>14.9172158008441</v>
      </c>
      <c r="U9" s="2" t="s">
        <v>38</v>
      </c>
      <c r="V9" s="2" t="n">
        <v>0</v>
      </c>
      <c r="W9" s="2" t="n">
        <v>1.78239339962602</v>
      </c>
      <c r="Y9" s="2" t="n">
        <v>0</v>
      </c>
      <c r="Z9" s="2" t="n">
        <v>176374</v>
      </c>
      <c r="AA9" s="2" t="n">
        <v>1</v>
      </c>
      <c r="AB9" s="2" t="s">
        <v>34</v>
      </c>
      <c r="AC9" s="2" t="s">
        <v>35</v>
      </c>
      <c r="AE9" s="2" t="s">
        <v>36</v>
      </c>
      <c r="AF9" s="2" t="n">
        <v>119.92133056139</v>
      </c>
      <c r="AG9" s="2" t="s">
        <v>37</v>
      </c>
    </row>
    <row r="10" customFormat="false" ht="15" hidden="false" customHeight="false" outlineLevel="0" collapsed="false">
      <c r="A10" s="2" t="n">
        <v>8</v>
      </c>
      <c r="B10" s="2" t="n">
        <v>0</v>
      </c>
      <c r="C10" s="2" t="n">
        <v>8</v>
      </c>
      <c r="D10" s="2" t="s">
        <v>33</v>
      </c>
      <c r="E10" s="2" t="n">
        <v>1</v>
      </c>
      <c r="F10" s="2" t="n">
        <v>0.869599299505353</v>
      </c>
      <c r="H10" s="2" t="n">
        <v>0</v>
      </c>
      <c r="I10" s="2" t="n">
        <v>8</v>
      </c>
      <c r="J10" s="2" t="n">
        <v>0</v>
      </c>
      <c r="K10" s="2" t="n">
        <v>8</v>
      </c>
      <c r="L10" s="2" t="n">
        <v>0</v>
      </c>
      <c r="M10" s="2" t="n">
        <v>14.9252166002989</v>
      </c>
      <c r="P10" s="2" t="n">
        <v>14.91764840018</v>
      </c>
      <c r="Q10" s="2" t="n">
        <v>14.9252166002989</v>
      </c>
      <c r="R10" s="2" t="n">
        <v>15.9086964000016</v>
      </c>
      <c r="S10" s="2" t="n">
        <v>15.9170377003029</v>
      </c>
      <c r="T10" s="2" t="n">
        <v>16.7837345004082</v>
      </c>
      <c r="U10" s="2" t="s">
        <v>33</v>
      </c>
      <c r="V10" s="2" t="n">
        <v>1</v>
      </c>
      <c r="W10" s="2" t="n">
        <v>0.869599299505353</v>
      </c>
      <c r="Y10" s="2" t="n">
        <v>0</v>
      </c>
      <c r="Z10" s="2" t="n">
        <v>176374</v>
      </c>
      <c r="AA10" s="2" t="n">
        <v>1</v>
      </c>
      <c r="AB10" s="2" t="s">
        <v>34</v>
      </c>
      <c r="AC10" s="2" t="s">
        <v>35</v>
      </c>
      <c r="AE10" s="2" t="s">
        <v>36</v>
      </c>
      <c r="AF10" s="2" t="n">
        <v>119.92133056139</v>
      </c>
      <c r="AG10" s="2" t="s">
        <v>37</v>
      </c>
    </row>
    <row r="11" customFormat="false" ht="15" hidden="false" customHeight="false" outlineLevel="0" collapsed="false">
      <c r="A11" s="2" t="n">
        <v>9</v>
      </c>
      <c r="B11" s="2" t="n">
        <v>0</v>
      </c>
      <c r="C11" s="2" t="n">
        <v>9</v>
      </c>
      <c r="D11" s="2" t="s">
        <v>38</v>
      </c>
      <c r="E11" s="2" t="n">
        <v>1</v>
      </c>
      <c r="F11" s="2" t="n">
        <v>1.19032210018486</v>
      </c>
      <c r="H11" s="2" t="n">
        <v>1</v>
      </c>
      <c r="I11" s="2" t="n">
        <v>9</v>
      </c>
      <c r="J11" s="2" t="n">
        <v>0</v>
      </c>
      <c r="K11" s="2" t="n">
        <v>9</v>
      </c>
      <c r="L11" s="2" t="n">
        <v>0</v>
      </c>
      <c r="M11" s="2" t="n">
        <v>16.7912691002712</v>
      </c>
      <c r="P11" s="2" t="n">
        <v>16.7842502007261</v>
      </c>
      <c r="Q11" s="2" t="n">
        <v>16.7912691002712</v>
      </c>
      <c r="R11" s="2" t="n">
        <v>17.7749339006841</v>
      </c>
      <c r="S11" s="2" t="n">
        <v>17.7836612006649</v>
      </c>
      <c r="T11" s="2" t="n">
        <v>18.9682654002681</v>
      </c>
      <c r="U11" s="2" t="s">
        <v>38</v>
      </c>
      <c r="V11" s="2" t="n">
        <v>1</v>
      </c>
      <c r="W11" s="2" t="n">
        <v>1.19032210018486</v>
      </c>
      <c r="Y11" s="2" t="n">
        <v>1</v>
      </c>
      <c r="Z11" s="2" t="n">
        <v>176374</v>
      </c>
      <c r="AA11" s="2" t="n">
        <v>1</v>
      </c>
      <c r="AB11" s="2" t="s">
        <v>34</v>
      </c>
      <c r="AC11" s="2" t="s">
        <v>35</v>
      </c>
      <c r="AE11" s="2" t="s">
        <v>36</v>
      </c>
      <c r="AF11" s="2" t="n">
        <v>119.92133056139</v>
      </c>
      <c r="AG11" s="2" t="s">
        <v>37</v>
      </c>
    </row>
    <row r="12" customFormat="false" ht="15" hidden="false" customHeight="false" outlineLevel="0" collapsed="false">
      <c r="A12" s="2" t="n">
        <v>10</v>
      </c>
      <c r="B12" s="2" t="n">
        <v>0</v>
      </c>
      <c r="C12" s="2" t="n">
        <v>10</v>
      </c>
      <c r="D12" s="2" t="s">
        <v>33</v>
      </c>
      <c r="E12" s="2" t="n">
        <v>0</v>
      </c>
      <c r="F12" s="2" t="n">
        <v>1.48804199974984</v>
      </c>
      <c r="H12" s="2" t="n">
        <v>-2</v>
      </c>
      <c r="I12" s="2" t="n">
        <v>10</v>
      </c>
      <c r="J12" s="2" t="n">
        <v>0</v>
      </c>
      <c r="K12" s="2" t="n">
        <v>10</v>
      </c>
      <c r="L12" s="2" t="n">
        <v>0</v>
      </c>
      <c r="M12" s="2" t="n">
        <v>18.9748361008242</v>
      </c>
      <c r="P12" s="2" t="n">
        <v>18.9687156006694</v>
      </c>
      <c r="Q12" s="2" t="n">
        <v>18.9748361008242</v>
      </c>
      <c r="R12" s="2" t="n">
        <v>19.9669999005273</v>
      </c>
      <c r="S12" s="2" t="n">
        <v>19.9669999005273</v>
      </c>
      <c r="T12" s="2" t="n">
        <v>21.4589615007862</v>
      </c>
      <c r="U12" s="2" t="s">
        <v>33</v>
      </c>
      <c r="V12" s="2" t="n">
        <v>0</v>
      </c>
      <c r="W12" s="2" t="n">
        <v>1.48804199974984</v>
      </c>
      <c r="Y12" s="2" t="n">
        <v>-2</v>
      </c>
      <c r="Z12" s="2" t="n">
        <v>176374</v>
      </c>
      <c r="AA12" s="2" t="n">
        <v>1</v>
      </c>
      <c r="AB12" s="2" t="s">
        <v>34</v>
      </c>
      <c r="AC12" s="2" t="s">
        <v>35</v>
      </c>
      <c r="AE12" s="2" t="s">
        <v>36</v>
      </c>
      <c r="AF12" s="2" t="n">
        <v>119.92133056139</v>
      </c>
      <c r="AG12" s="2" t="s">
        <v>37</v>
      </c>
    </row>
    <row r="13" customFormat="false" ht="15" hidden="false" customHeight="false" outlineLevel="0" collapsed="false">
      <c r="A13" s="2" t="n">
        <v>11</v>
      </c>
      <c r="B13" s="2" t="n">
        <v>0</v>
      </c>
      <c r="C13" s="2" t="n">
        <v>11</v>
      </c>
      <c r="D13" s="2" t="s">
        <v>33</v>
      </c>
      <c r="E13" s="2" t="n">
        <v>0</v>
      </c>
      <c r="F13" s="2" t="n">
        <v>1.1245812997222</v>
      </c>
      <c r="H13" s="2" t="n">
        <v>-3</v>
      </c>
      <c r="I13" s="2" t="n">
        <v>11</v>
      </c>
      <c r="J13" s="2" t="n">
        <v>0</v>
      </c>
      <c r="K13" s="2" t="n">
        <v>11</v>
      </c>
      <c r="L13" s="2" t="n">
        <v>0</v>
      </c>
      <c r="M13" s="2" t="n">
        <v>21.4663282008842</v>
      </c>
      <c r="P13" s="2" t="n">
        <v>21.4593723006547</v>
      </c>
      <c r="Q13" s="2" t="n">
        <v>21.4663282008842</v>
      </c>
      <c r="R13" s="2" t="n">
        <v>22.4511194005609</v>
      </c>
      <c r="S13" s="2" t="n">
        <v>22.4580390006304</v>
      </c>
      <c r="T13" s="2" t="n">
        <v>23.583640800789</v>
      </c>
      <c r="U13" s="2" t="s">
        <v>33</v>
      </c>
      <c r="V13" s="2" t="n">
        <v>0</v>
      </c>
      <c r="W13" s="2" t="n">
        <v>1.1245812997222</v>
      </c>
      <c r="Y13" s="2" t="n">
        <v>-3</v>
      </c>
      <c r="Z13" s="2" t="n">
        <v>176374</v>
      </c>
      <c r="AA13" s="2" t="n">
        <v>1</v>
      </c>
      <c r="AB13" s="2" t="s">
        <v>34</v>
      </c>
      <c r="AC13" s="2" t="s">
        <v>35</v>
      </c>
      <c r="AE13" s="2" t="s">
        <v>36</v>
      </c>
      <c r="AF13" s="2" t="n">
        <v>119.92133056139</v>
      </c>
      <c r="AG13" s="2" t="s">
        <v>37</v>
      </c>
    </row>
    <row r="14" customFormat="false" ht="15" hidden="false" customHeight="false" outlineLevel="0" collapsed="false">
      <c r="A14" s="2" t="n">
        <v>12</v>
      </c>
      <c r="B14" s="2" t="n">
        <v>0</v>
      </c>
      <c r="C14" s="2" t="n">
        <v>12</v>
      </c>
      <c r="D14" s="2" t="s">
        <v>38</v>
      </c>
      <c r="E14" s="2" t="n">
        <v>1</v>
      </c>
      <c r="F14" s="2" t="n">
        <v>0.461853099986911</v>
      </c>
      <c r="H14" s="2" t="n">
        <v>4</v>
      </c>
      <c r="I14" s="2" t="n">
        <v>12</v>
      </c>
      <c r="J14" s="2" t="n">
        <v>0</v>
      </c>
      <c r="K14" s="2" t="n">
        <v>12</v>
      </c>
      <c r="L14" s="2" t="n">
        <v>0</v>
      </c>
      <c r="M14" s="2" t="n">
        <v>23.5915865004063</v>
      </c>
      <c r="P14" s="2" t="n">
        <v>23.5839654002339</v>
      </c>
      <c r="Q14" s="2" t="n">
        <v>23.5915865004063</v>
      </c>
      <c r="R14" s="2" t="n">
        <v>24.5760080004111</v>
      </c>
      <c r="S14" s="2" t="n">
        <v>24.5831255000085</v>
      </c>
      <c r="T14" s="2" t="n">
        <v>25.0431595006958</v>
      </c>
      <c r="U14" s="2" t="s">
        <v>38</v>
      </c>
      <c r="V14" s="2" t="n">
        <v>1</v>
      </c>
      <c r="W14" s="2" t="n">
        <v>0.461853099986911</v>
      </c>
      <c r="Y14" s="2" t="n">
        <v>4</v>
      </c>
      <c r="Z14" s="2" t="n">
        <v>176374</v>
      </c>
      <c r="AA14" s="2" t="n">
        <v>1</v>
      </c>
      <c r="AB14" s="2" t="s">
        <v>34</v>
      </c>
      <c r="AC14" s="2" t="s">
        <v>35</v>
      </c>
      <c r="AE14" s="2" t="s">
        <v>36</v>
      </c>
      <c r="AF14" s="2" t="n">
        <v>119.92133056139</v>
      </c>
      <c r="AG14" s="2" t="s">
        <v>37</v>
      </c>
    </row>
    <row r="15" customFormat="false" ht="15" hidden="false" customHeight="false" outlineLevel="0" collapsed="false">
      <c r="A15" s="2" t="n">
        <v>13</v>
      </c>
      <c r="B15" s="2" t="n">
        <v>0</v>
      </c>
      <c r="C15" s="2" t="n">
        <v>13</v>
      </c>
      <c r="D15" s="2" t="s">
        <v>33</v>
      </c>
      <c r="E15" s="2" t="n">
        <v>1</v>
      </c>
      <c r="F15" s="2" t="n">
        <v>0.665718600153923</v>
      </c>
      <c r="H15" s="2" t="n">
        <v>0</v>
      </c>
      <c r="I15" s="2" t="n">
        <v>13</v>
      </c>
      <c r="J15" s="2" t="n">
        <v>0</v>
      </c>
      <c r="K15" s="2" t="n">
        <v>13</v>
      </c>
      <c r="L15" s="2" t="n">
        <v>0</v>
      </c>
      <c r="M15" s="2" t="n">
        <v>25.0494397003204</v>
      </c>
      <c r="P15" s="2" t="n">
        <v>25.0436232006177</v>
      </c>
      <c r="Q15" s="2" t="n">
        <v>25.0494397003204</v>
      </c>
      <c r="R15" s="2" t="n">
        <v>26.0416598003358</v>
      </c>
      <c r="S15" s="2" t="n">
        <v>26.0416598003358</v>
      </c>
      <c r="T15" s="2" t="n">
        <v>26.7083278000355</v>
      </c>
      <c r="U15" s="2" t="s">
        <v>33</v>
      </c>
      <c r="V15" s="2" t="n">
        <v>1</v>
      </c>
      <c r="W15" s="2" t="n">
        <v>0.665718600153923</v>
      </c>
      <c r="Y15" s="2" t="n">
        <v>0</v>
      </c>
      <c r="Z15" s="2" t="n">
        <v>176374</v>
      </c>
      <c r="AA15" s="2" t="n">
        <v>1</v>
      </c>
      <c r="AB15" s="2" t="s">
        <v>34</v>
      </c>
      <c r="AC15" s="2" t="s">
        <v>35</v>
      </c>
      <c r="AE15" s="2" t="s">
        <v>36</v>
      </c>
      <c r="AF15" s="2" t="n">
        <v>119.92133056139</v>
      </c>
      <c r="AG15" s="2" t="s">
        <v>37</v>
      </c>
    </row>
    <row r="16" customFormat="false" ht="15" hidden="false" customHeight="false" outlineLevel="0" collapsed="false">
      <c r="A16" s="2" t="n">
        <v>14</v>
      </c>
      <c r="B16" s="2" t="n">
        <v>0</v>
      </c>
      <c r="C16" s="2" t="n">
        <v>14</v>
      </c>
      <c r="D16" s="2" t="s">
        <v>33</v>
      </c>
      <c r="E16" s="2" t="n">
        <v>1</v>
      </c>
      <c r="F16" s="2" t="n">
        <v>0.798512599430978</v>
      </c>
      <c r="H16" s="2" t="n">
        <v>0</v>
      </c>
      <c r="I16" s="2" t="n">
        <v>14</v>
      </c>
      <c r="J16" s="2" t="n">
        <v>0</v>
      </c>
      <c r="K16" s="2" t="n">
        <v>14</v>
      </c>
      <c r="L16" s="2" t="n">
        <v>0</v>
      </c>
      <c r="M16" s="2" t="n">
        <v>26.7162971002981</v>
      </c>
      <c r="P16" s="2" t="n">
        <v>26.7086695004255</v>
      </c>
      <c r="Q16" s="2" t="n">
        <v>26.7162971002981</v>
      </c>
      <c r="R16" s="2" t="n">
        <v>27.7001174008474</v>
      </c>
      <c r="S16" s="2" t="n">
        <v>27.7085080007091</v>
      </c>
      <c r="T16" s="2" t="n">
        <v>28.5000838004053</v>
      </c>
      <c r="U16" s="2" t="s">
        <v>33</v>
      </c>
      <c r="V16" s="2" t="n">
        <v>1</v>
      </c>
      <c r="W16" s="2" t="n">
        <v>0.798512599430978</v>
      </c>
      <c r="Y16" s="2" t="n">
        <v>0</v>
      </c>
      <c r="Z16" s="2" t="n">
        <v>176374</v>
      </c>
      <c r="AA16" s="2" t="n">
        <v>1</v>
      </c>
      <c r="AB16" s="2" t="s">
        <v>34</v>
      </c>
      <c r="AC16" s="2" t="s">
        <v>35</v>
      </c>
      <c r="AE16" s="2" t="s">
        <v>36</v>
      </c>
      <c r="AF16" s="2" t="n">
        <v>119.92133056139</v>
      </c>
      <c r="AG16" s="2" t="s">
        <v>37</v>
      </c>
    </row>
    <row r="17" customFormat="false" ht="15" hidden="false" customHeight="false" outlineLevel="0" collapsed="false">
      <c r="A17" s="2" t="n">
        <v>15</v>
      </c>
      <c r="B17" s="2" t="n">
        <v>0</v>
      </c>
      <c r="C17" s="2" t="n">
        <v>15</v>
      </c>
      <c r="D17" s="2" t="s">
        <v>33</v>
      </c>
      <c r="E17" s="2" t="n">
        <v>1</v>
      </c>
      <c r="F17" s="2" t="n">
        <v>0.542686499655247</v>
      </c>
      <c r="H17" s="2" t="n">
        <v>0</v>
      </c>
      <c r="I17" s="2" t="n">
        <v>15</v>
      </c>
      <c r="J17" s="2" t="n">
        <v>0</v>
      </c>
      <c r="K17" s="2" t="n">
        <v>15</v>
      </c>
      <c r="L17" s="2" t="n">
        <v>0</v>
      </c>
      <c r="M17" s="2" t="n">
        <v>28.5077158007771</v>
      </c>
      <c r="P17" s="2" t="n">
        <v>28.5003951005638</v>
      </c>
      <c r="Q17" s="2" t="n">
        <v>28.5077158007771</v>
      </c>
      <c r="R17" s="2" t="n">
        <v>29.4909741003066</v>
      </c>
      <c r="S17" s="2" t="n">
        <v>29.5000867005438</v>
      </c>
      <c r="T17" s="2" t="n">
        <v>30.0417075008154</v>
      </c>
      <c r="U17" s="2" t="s">
        <v>33</v>
      </c>
      <c r="V17" s="2" t="n">
        <v>1</v>
      </c>
      <c r="W17" s="2" t="n">
        <v>0.542686499655247</v>
      </c>
      <c r="Y17" s="2" t="n">
        <v>0</v>
      </c>
      <c r="Z17" s="2" t="n">
        <v>176374</v>
      </c>
      <c r="AA17" s="2" t="n">
        <v>1</v>
      </c>
      <c r="AB17" s="2" t="s">
        <v>34</v>
      </c>
      <c r="AC17" s="2" t="s">
        <v>35</v>
      </c>
      <c r="AE17" s="2" t="s">
        <v>36</v>
      </c>
      <c r="AF17" s="2" t="n">
        <v>119.92133056139</v>
      </c>
      <c r="AG17" s="2" t="s">
        <v>37</v>
      </c>
    </row>
    <row r="18" customFormat="false" ht="15" hidden="false" customHeight="false" outlineLevel="0" collapsed="false">
      <c r="A18" s="2" t="n">
        <v>16</v>
      </c>
      <c r="B18" s="2" t="n">
        <v>0</v>
      </c>
      <c r="C18" s="2" t="n">
        <v>16</v>
      </c>
      <c r="D18" s="2" t="s">
        <v>33</v>
      </c>
      <c r="E18" s="2" t="n">
        <v>1</v>
      </c>
      <c r="F18" s="2" t="n">
        <v>0.77495039999485</v>
      </c>
      <c r="H18" s="2" t="n">
        <v>0</v>
      </c>
      <c r="I18" s="2" t="n">
        <v>16</v>
      </c>
      <c r="J18" s="2" t="n">
        <v>0</v>
      </c>
      <c r="K18" s="2" t="n">
        <v>16</v>
      </c>
      <c r="L18" s="2" t="n">
        <v>0</v>
      </c>
      <c r="M18" s="2" t="n">
        <v>30.0492985006422</v>
      </c>
      <c r="P18" s="2" t="n">
        <v>30.0423190006986</v>
      </c>
      <c r="Q18" s="2" t="n">
        <v>30.0492985006422</v>
      </c>
      <c r="R18" s="2" t="n">
        <v>31.0329519007355</v>
      </c>
      <c r="S18" s="2" t="n">
        <v>31.0409729005769</v>
      </c>
      <c r="T18" s="2" t="n">
        <v>31.80942540057</v>
      </c>
      <c r="U18" s="2" t="s">
        <v>33</v>
      </c>
      <c r="V18" s="2" t="n">
        <v>1</v>
      </c>
      <c r="W18" s="2" t="n">
        <v>0.77495039999485</v>
      </c>
      <c r="Y18" s="2" t="n">
        <v>0</v>
      </c>
      <c r="Z18" s="2" t="n">
        <v>176374</v>
      </c>
      <c r="AA18" s="2" t="n">
        <v>1</v>
      </c>
      <c r="AB18" s="2" t="s">
        <v>34</v>
      </c>
      <c r="AC18" s="2" t="s">
        <v>35</v>
      </c>
      <c r="AE18" s="2" t="s">
        <v>36</v>
      </c>
      <c r="AF18" s="2" t="n">
        <v>119.92133056139</v>
      </c>
      <c r="AG18" s="2" t="s">
        <v>37</v>
      </c>
    </row>
    <row r="19" customFormat="false" ht="15" hidden="false" customHeight="false" outlineLevel="0" collapsed="false">
      <c r="A19" s="2" t="n">
        <v>17</v>
      </c>
      <c r="B19" s="2" t="n">
        <v>0</v>
      </c>
      <c r="C19" s="2" t="n">
        <v>17</v>
      </c>
      <c r="D19" s="2" t="s">
        <v>33</v>
      </c>
      <c r="E19" s="2" t="n">
        <v>1</v>
      </c>
      <c r="F19" s="2" t="n">
        <v>0.714595600031316</v>
      </c>
      <c r="H19" s="2" t="n">
        <v>0</v>
      </c>
      <c r="I19" s="2" t="n">
        <v>17</v>
      </c>
      <c r="J19" s="2" t="n">
        <v>0</v>
      </c>
      <c r="K19" s="2" t="n">
        <v>17</v>
      </c>
      <c r="L19" s="2" t="n">
        <v>0</v>
      </c>
      <c r="M19" s="2" t="n">
        <v>31.8160208007321</v>
      </c>
      <c r="P19" s="2" t="n">
        <v>31.8098769001663</v>
      </c>
      <c r="Q19" s="2" t="n">
        <v>31.8160208007321</v>
      </c>
      <c r="R19" s="2" t="n">
        <v>32.8082820000127</v>
      </c>
      <c r="S19" s="2" t="n">
        <v>32.8082820000127</v>
      </c>
      <c r="T19" s="2" t="n">
        <v>33.5257248003036</v>
      </c>
      <c r="U19" s="2" t="s">
        <v>33</v>
      </c>
      <c r="V19" s="2" t="n">
        <v>1</v>
      </c>
      <c r="W19" s="2" t="n">
        <v>0.714595600031316</v>
      </c>
      <c r="Y19" s="2" t="n">
        <v>0</v>
      </c>
      <c r="Z19" s="2" t="n">
        <v>176374</v>
      </c>
      <c r="AA19" s="2" t="n">
        <v>1</v>
      </c>
      <c r="AB19" s="2" t="s">
        <v>34</v>
      </c>
      <c r="AC19" s="2" t="s">
        <v>35</v>
      </c>
      <c r="AE19" s="2" t="s">
        <v>36</v>
      </c>
      <c r="AF19" s="2" t="n">
        <v>119.92133056139</v>
      </c>
      <c r="AG19" s="2" t="s">
        <v>37</v>
      </c>
    </row>
    <row r="20" customFormat="false" ht="15" hidden="false" customHeight="false" outlineLevel="0" collapsed="false">
      <c r="A20" s="2" t="n">
        <v>18</v>
      </c>
      <c r="B20" s="2" t="n">
        <v>0</v>
      </c>
      <c r="C20" s="2" t="n">
        <v>18</v>
      </c>
      <c r="D20" s="2" t="s">
        <v>33</v>
      </c>
      <c r="E20" s="2" t="n">
        <v>1</v>
      </c>
      <c r="F20" s="2" t="n">
        <v>0.591200600378215</v>
      </c>
      <c r="H20" s="2" t="n">
        <v>0</v>
      </c>
      <c r="I20" s="2" t="n">
        <v>18</v>
      </c>
      <c r="J20" s="2" t="n">
        <v>0</v>
      </c>
      <c r="K20" s="2" t="n">
        <v>18</v>
      </c>
      <c r="L20" s="2" t="n">
        <v>0</v>
      </c>
      <c r="M20" s="2" t="n">
        <v>33.5327072003856</v>
      </c>
      <c r="P20" s="2" t="n">
        <v>33.5261614006013</v>
      </c>
      <c r="Q20" s="2" t="n">
        <v>33.5327072003856</v>
      </c>
      <c r="R20" s="2" t="n">
        <v>34.524349800311</v>
      </c>
      <c r="S20" s="2" t="n">
        <v>34.524349800311</v>
      </c>
      <c r="T20" s="2" t="n">
        <v>35.1173787005246</v>
      </c>
      <c r="U20" s="2" t="s">
        <v>33</v>
      </c>
      <c r="V20" s="2" t="n">
        <v>1</v>
      </c>
      <c r="W20" s="2" t="n">
        <v>0.591200600378215</v>
      </c>
      <c r="Y20" s="2" t="n">
        <v>0</v>
      </c>
      <c r="Z20" s="2" t="n">
        <v>176374</v>
      </c>
      <c r="AA20" s="2" t="n">
        <v>1</v>
      </c>
      <c r="AB20" s="2" t="s">
        <v>34</v>
      </c>
      <c r="AC20" s="2" t="s">
        <v>35</v>
      </c>
      <c r="AE20" s="2" t="s">
        <v>36</v>
      </c>
      <c r="AF20" s="2" t="n">
        <v>119.92133056139</v>
      </c>
      <c r="AG20" s="2" t="s">
        <v>37</v>
      </c>
    </row>
    <row r="21" customFormat="false" ht="15" hidden="false" customHeight="false" outlineLevel="0" collapsed="false">
      <c r="A21" s="2" t="n">
        <v>19</v>
      </c>
      <c r="B21" s="2" t="n">
        <v>0</v>
      </c>
      <c r="C21" s="2" t="n">
        <v>19</v>
      </c>
      <c r="D21" s="2" t="s">
        <v>38</v>
      </c>
      <c r="E21" s="2" t="n">
        <v>1</v>
      </c>
      <c r="F21" s="2" t="n">
        <v>0.667945799417794</v>
      </c>
      <c r="H21" s="2" t="n">
        <v>1</v>
      </c>
      <c r="I21" s="2" t="n">
        <v>19</v>
      </c>
      <c r="J21" s="2" t="n">
        <v>0</v>
      </c>
      <c r="K21" s="2" t="n">
        <v>19</v>
      </c>
      <c r="L21" s="2" t="n">
        <v>0</v>
      </c>
      <c r="M21" s="2" t="n">
        <v>35.1244918005541</v>
      </c>
      <c r="P21" s="2" t="n">
        <v>35.1178105007857</v>
      </c>
      <c r="Q21" s="2" t="n">
        <v>35.1244918005541</v>
      </c>
      <c r="R21" s="2" t="n">
        <v>36.1163081005216</v>
      </c>
      <c r="S21" s="2" t="n">
        <v>36.1163081005216</v>
      </c>
      <c r="T21" s="2" t="n">
        <v>36.7913876008242</v>
      </c>
      <c r="U21" s="2" t="s">
        <v>38</v>
      </c>
      <c r="V21" s="2" t="n">
        <v>1</v>
      </c>
      <c r="W21" s="2" t="n">
        <v>0.667945799417794</v>
      </c>
      <c r="Y21" s="2" t="n">
        <v>1</v>
      </c>
      <c r="Z21" s="2" t="n">
        <v>176374</v>
      </c>
      <c r="AA21" s="2" t="n">
        <v>1</v>
      </c>
      <c r="AB21" s="2" t="s">
        <v>34</v>
      </c>
      <c r="AC21" s="2" t="s">
        <v>35</v>
      </c>
      <c r="AE21" s="2" t="s">
        <v>36</v>
      </c>
      <c r="AF21" s="2" t="n">
        <v>119.92133056139</v>
      </c>
      <c r="AG21" s="2" t="s">
        <v>37</v>
      </c>
    </row>
    <row r="22" customFormat="false" ht="15" hidden="false" customHeight="false" outlineLevel="0" collapsed="false">
      <c r="A22" s="2" t="n">
        <v>20</v>
      </c>
      <c r="B22" s="2" t="n">
        <v>0</v>
      </c>
      <c r="C22" s="2" t="n">
        <v>20</v>
      </c>
      <c r="D22" s="2" t="s">
        <v>38</v>
      </c>
      <c r="E22" s="2" t="n">
        <v>1</v>
      </c>
      <c r="F22" s="2" t="n">
        <v>0.994160199537873</v>
      </c>
      <c r="H22" s="2" t="n">
        <v>3</v>
      </c>
      <c r="I22" s="2" t="n">
        <v>20</v>
      </c>
      <c r="J22" s="2" t="n">
        <v>0</v>
      </c>
      <c r="K22" s="2" t="n">
        <v>20</v>
      </c>
      <c r="L22" s="2" t="n">
        <v>0</v>
      </c>
      <c r="M22" s="2" t="n">
        <v>36.799385400489</v>
      </c>
      <c r="P22" s="2" t="n">
        <v>36.792000300251</v>
      </c>
      <c r="Q22" s="2" t="n">
        <v>36.799385400489</v>
      </c>
      <c r="R22" s="2" t="n">
        <v>37.7832726007327</v>
      </c>
      <c r="S22" s="2" t="n">
        <v>37.7909220000729</v>
      </c>
      <c r="T22" s="2" t="n">
        <v>38.7835943000391</v>
      </c>
      <c r="U22" s="2" t="s">
        <v>38</v>
      </c>
      <c r="V22" s="2" t="n">
        <v>1</v>
      </c>
      <c r="W22" s="2" t="n">
        <v>0.994160199537873</v>
      </c>
      <c r="Y22" s="2" t="n">
        <v>3</v>
      </c>
      <c r="Z22" s="2" t="n">
        <v>176374</v>
      </c>
      <c r="AA22" s="2" t="n">
        <v>1</v>
      </c>
      <c r="AB22" s="2" t="s">
        <v>34</v>
      </c>
      <c r="AC22" s="2" t="s">
        <v>35</v>
      </c>
      <c r="AE22" s="2" t="s">
        <v>36</v>
      </c>
      <c r="AF22" s="2" t="n">
        <v>119.92133056139</v>
      </c>
      <c r="AG22" s="2" t="s">
        <v>37</v>
      </c>
    </row>
    <row r="23" customFormat="false" ht="15" hidden="false" customHeight="false" outlineLevel="0" collapsed="false">
      <c r="A23" s="2" t="n">
        <v>21</v>
      </c>
      <c r="B23" s="2" t="n">
        <v>0</v>
      </c>
      <c r="C23" s="2" t="n">
        <v>21</v>
      </c>
      <c r="D23" s="2" t="s">
        <v>33</v>
      </c>
      <c r="E23" s="2" t="n">
        <v>1</v>
      </c>
      <c r="F23" s="2" t="n">
        <v>0.937852800823748</v>
      </c>
      <c r="H23" s="2" t="n">
        <v>0</v>
      </c>
      <c r="I23" s="2" t="n">
        <v>21</v>
      </c>
      <c r="J23" s="2" t="n">
        <v>0</v>
      </c>
      <c r="K23" s="2" t="n">
        <v>21</v>
      </c>
      <c r="L23" s="2" t="n">
        <v>0</v>
      </c>
      <c r="M23" s="2" t="n">
        <v>38.7908647004515</v>
      </c>
      <c r="P23" s="2" t="n">
        <v>38.7841404005885</v>
      </c>
      <c r="Q23" s="2" t="n">
        <v>38.7908647004515</v>
      </c>
      <c r="R23" s="2" t="n">
        <v>39.7746691005305</v>
      </c>
      <c r="S23" s="2" t="n">
        <v>39.7830705000088</v>
      </c>
      <c r="T23" s="2" t="n">
        <v>40.7161415005103</v>
      </c>
      <c r="U23" s="2" t="s">
        <v>33</v>
      </c>
      <c r="V23" s="2" t="n">
        <v>1</v>
      </c>
      <c r="W23" s="2" t="n">
        <v>0.937852800823748</v>
      </c>
      <c r="Y23" s="2" t="n">
        <v>0</v>
      </c>
      <c r="Z23" s="2" t="n">
        <v>176374</v>
      </c>
      <c r="AA23" s="2" t="n">
        <v>1</v>
      </c>
      <c r="AB23" s="2" t="s">
        <v>34</v>
      </c>
      <c r="AC23" s="2" t="s">
        <v>35</v>
      </c>
      <c r="AE23" s="2" t="s">
        <v>36</v>
      </c>
      <c r="AF23" s="2" t="n">
        <v>119.92133056139</v>
      </c>
      <c r="AG23" s="2" t="s">
        <v>37</v>
      </c>
    </row>
    <row r="24" customFormat="false" ht="15" hidden="false" customHeight="false" outlineLevel="0" collapsed="false">
      <c r="A24" s="2" t="n">
        <v>22</v>
      </c>
      <c r="B24" s="2" t="n">
        <v>0</v>
      </c>
      <c r="C24" s="2" t="n">
        <v>22</v>
      </c>
      <c r="D24" s="2" t="s">
        <v>38</v>
      </c>
      <c r="E24" s="2" t="n">
        <v>1</v>
      </c>
      <c r="F24" s="2" t="n">
        <v>0.656926799565554</v>
      </c>
      <c r="H24" s="2" t="n">
        <v>-5</v>
      </c>
      <c r="I24" s="2" t="n">
        <v>22</v>
      </c>
      <c r="J24" s="2" t="n">
        <v>0</v>
      </c>
      <c r="K24" s="2" t="n">
        <v>22</v>
      </c>
      <c r="L24" s="2" t="n">
        <v>0</v>
      </c>
      <c r="M24" s="2" t="n">
        <v>40.7239936999977</v>
      </c>
      <c r="P24" s="2" t="n">
        <v>40.7164973001927</v>
      </c>
      <c r="Q24" s="2" t="n">
        <v>40.7239936999977</v>
      </c>
      <c r="R24" s="2" t="n">
        <v>41.7076700003818</v>
      </c>
      <c r="S24" s="2" t="n">
        <v>41.7158330008388</v>
      </c>
      <c r="T24" s="2" t="n">
        <v>42.3662114003673</v>
      </c>
      <c r="U24" s="2" t="s">
        <v>38</v>
      </c>
      <c r="V24" s="2" t="n">
        <v>1</v>
      </c>
      <c r="W24" s="2" t="n">
        <v>0.656926799565554</v>
      </c>
      <c r="Y24" s="2" t="n">
        <v>-5</v>
      </c>
      <c r="Z24" s="2" t="n">
        <v>176374</v>
      </c>
      <c r="AA24" s="2" t="n">
        <v>1</v>
      </c>
      <c r="AB24" s="2" t="s">
        <v>34</v>
      </c>
      <c r="AC24" s="2" t="s">
        <v>35</v>
      </c>
      <c r="AE24" s="2" t="s">
        <v>36</v>
      </c>
      <c r="AF24" s="2" t="n">
        <v>119.92133056139</v>
      </c>
      <c r="AG24" s="2" t="s">
        <v>37</v>
      </c>
    </row>
    <row r="25" customFormat="false" ht="15" hidden="false" customHeight="false" outlineLevel="0" collapsed="false">
      <c r="A25" s="2" t="n">
        <v>23</v>
      </c>
      <c r="B25" s="2" t="n">
        <v>0</v>
      </c>
      <c r="C25" s="2" t="n">
        <v>23</v>
      </c>
      <c r="D25" s="2" t="s">
        <v>33</v>
      </c>
      <c r="E25" s="2" t="n">
        <v>1</v>
      </c>
      <c r="F25" s="2" t="n">
        <v>0.675125899724662</v>
      </c>
      <c r="H25" s="2" t="n">
        <v>0</v>
      </c>
      <c r="I25" s="2" t="n">
        <v>23</v>
      </c>
      <c r="J25" s="2" t="n">
        <v>0</v>
      </c>
      <c r="K25" s="2" t="n">
        <v>23</v>
      </c>
      <c r="L25" s="2" t="n">
        <v>0</v>
      </c>
      <c r="M25" s="2" t="n">
        <v>42.3740685004741</v>
      </c>
      <c r="P25" s="2" t="n">
        <v>42.3666122006252</v>
      </c>
      <c r="Q25" s="2" t="n">
        <v>42.3740685004741</v>
      </c>
      <c r="R25" s="2" t="n">
        <v>43.3580954000354</v>
      </c>
      <c r="S25" s="2" t="n">
        <v>43.3662592004985</v>
      </c>
      <c r="T25" s="2" t="n">
        <v>44.042026700452</v>
      </c>
      <c r="U25" s="2" t="s">
        <v>33</v>
      </c>
      <c r="V25" s="2" t="n">
        <v>1</v>
      </c>
      <c r="W25" s="2" t="n">
        <v>0.675125899724662</v>
      </c>
      <c r="Y25" s="2" t="n">
        <v>0</v>
      </c>
      <c r="Z25" s="2" t="n">
        <v>176374</v>
      </c>
      <c r="AA25" s="2" t="n">
        <v>1</v>
      </c>
      <c r="AB25" s="2" t="s">
        <v>34</v>
      </c>
      <c r="AC25" s="2" t="s">
        <v>35</v>
      </c>
      <c r="AE25" s="2" t="s">
        <v>36</v>
      </c>
      <c r="AF25" s="2" t="n">
        <v>119.92133056139</v>
      </c>
      <c r="AG25" s="2" t="s">
        <v>37</v>
      </c>
    </row>
    <row r="26" customFormat="false" ht="15" hidden="false" customHeight="false" outlineLevel="0" collapsed="false">
      <c r="A26" s="2" t="n">
        <v>24</v>
      </c>
      <c r="B26" s="2" t="n">
        <v>0</v>
      </c>
      <c r="C26" s="2" t="n">
        <v>24</v>
      </c>
      <c r="D26" s="2" t="s">
        <v>38</v>
      </c>
      <c r="E26" s="2" t="n">
        <v>1</v>
      </c>
      <c r="F26" s="2" t="n">
        <v>0.509707099758089</v>
      </c>
      <c r="H26" s="2" t="n">
        <v>2</v>
      </c>
      <c r="I26" s="2" t="n">
        <v>24</v>
      </c>
      <c r="J26" s="2" t="n">
        <v>0</v>
      </c>
      <c r="K26" s="2" t="n">
        <v>24</v>
      </c>
      <c r="L26" s="2" t="n">
        <v>0</v>
      </c>
      <c r="M26" s="2" t="n">
        <v>44.0491478005424</v>
      </c>
      <c r="P26" s="2" t="n">
        <v>44.0425648000091</v>
      </c>
      <c r="Q26" s="2" t="n">
        <v>44.0491478005424</v>
      </c>
      <c r="R26" s="2" t="n">
        <v>45.0329812001437</v>
      </c>
      <c r="S26" s="2" t="n">
        <v>45.0407427009195</v>
      </c>
      <c r="T26" s="2" t="n">
        <v>45.5500424001366</v>
      </c>
      <c r="U26" s="2" t="s">
        <v>38</v>
      </c>
      <c r="V26" s="2" t="n">
        <v>1</v>
      </c>
      <c r="W26" s="2" t="n">
        <v>0.509707099758089</v>
      </c>
      <c r="Y26" s="2" t="n">
        <v>2</v>
      </c>
      <c r="Z26" s="2" t="n">
        <v>176374</v>
      </c>
      <c r="AA26" s="2" t="n">
        <v>1</v>
      </c>
      <c r="AB26" s="2" t="s">
        <v>34</v>
      </c>
      <c r="AC26" s="2" t="s">
        <v>35</v>
      </c>
      <c r="AE26" s="2" t="s">
        <v>36</v>
      </c>
      <c r="AF26" s="2" t="n">
        <v>119.92133056139</v>
      </c>
      <c r="AG26" s="2" t="s">
        <v>37</v>
      </c>
    </row>
    <row r="27" customFormat="false" ht="15" hidden="false" customHeight="false" outlineLevel="0" collapsed="false">
      <c r="A27" s="2" t="n">
        <v>25</v>
      </c>
      <c r="B27" s="2" t="n">
        <v>0</v>
      </c>
      <c r="C27" s="2" t="n">
        <v>25</v>
      </c>
      <c r="D27" s="2" t="s">
        <v>33</v>
      </c>
      <c r="E27" s="2" t="n">
        <v>1</v>
      </c>
      <c r="F27" s="2" t="n">
        <v>0.356315599754453</v>
      </c>
      <c r="H27" s="2" t="n">
        <v>0</v>
      </c>
      <c r="I27" s="2" t="n">
        <v>25</v>
      </c>
      <c r="J27" s="2" t="n">
        <v>0</v>
      </c>
      <c r="K27" s="2" t="n">
        <v>25</v>
      </c>
      <c r="L27" s="2" t="n">
        <v>0</v>
      </c>
      <c r="M27" s="2" t="n">
        <v>45.5578825008124</v>
      </c>
      <c r="P27" s="2" t="n">
        <v>45.5504909008741</v>
      </c>
      <c r="Q27" s="2" t="n">
        <v>45.5578825008124</v>
      </c>
      <c r="R27" s="2" t="n">
        <v>46.5495060002431</v>
      </c>
      <c r="S27" s="2" t="n">
        <v>46.5495060002431</v>
      </c>
      <c r="T27" s="2" t="n">
        <v>46.9082380002365</v>
      </c>
      <c r="U27" s="2" t="s">
        <v>33</v>
      </c>
      <c r="V27" s="2" t="n">
        <v>1</v>
      </c>
      <c r="W27" s="2" t="n">
        <v>0.356315599754453</v>
      </c>
      <c r="Y27" s="2" t="n">
        <v>0</v>
      </c>
      <c r="Z27" s="2" t="n">
        <v>176374</v>
      </c>
      <c r="AA27" s="2" t="n">
        <v>1</v>
      </c>
      <c r="AB27" s="2" t="s">
        <v>34</v>
      </c>
      <c r="AC27" s="2" t="s">
        <v>35</v>
      </c>
      <c r="AE27" s="2" t="s">
        <v>36</v>
      </c>
      <c r="AF27" s="2" t="n">
        <v>119.92133056139</v>
      </c>
      <c r="AG27" s="2" t="s">
        <v>37</v>
      </c>
    </row>
    <row r="28" customFormat="false" ht="15" hidden="false" customHeight="false" outlineLevel="0" collapsed="false">
      <c r="A28" s="2" t="n">
        <v>26</v>
      </c>
      <c r="B28" s="2" t="n">
        <v>0</v>
      </c>
      <c r="C28" s="2" t="n">
        <v>26</v>
      </c>
      <c r="D28" s="2" t="s">
        <v>33</v>
      </c>
      <c r="E28" s="2" t="n">
        <v>1</v>
      </c>
      <c r="F28" s="2" t="n">
        <v>0.768537799827755</v>
      </c>
      <c r="H28" s="2" t="n">
        <v>0</v>
      </c>
      <c r="I28" s="2" t="n">
        <v>26</v>
      </c>
      <c r="J28" s="2" t="n">
        <v>0</v>
      </c>
      <c r="K28" s="2" t="n">
        <v>26</v>
      </c>
      <c r="L28" s="2" t="n">
        <v>0</v>
      </c>
      <c r="M28" s="2" t="n">
        <v>46.9162354003638</v>
      </c>
      <c r="P28" s="2" t="n">
        <v>46.9085589004681</v>
      </c>
      <c r="Q28" s="2" t="n">
        <v>46.9162354003638</v>
      </c>
      <c r="R28" s="2" t="n">
        <v>47.9073005001992</v>
      </c>
      <c r="S28" s="2" t="n">
        <v>47.9073005001992</v>
      </c>
      <c r="T28" s="2" t="n">
        <v>48.6835534004495</v>
      </c>
      <c r="U28" s="2" t="s">
        <v>33</v>
      </c>
      <c r="V28" s="2" t="n">
        <v>1</v>
      </c>
      <c r="W28" s="2" t="n">
        <v>0.768537799827755</v>
      </c>
      <c r="Y28" s="2" t="n">
        <v>0</v>
      </c>
      <c r="Z28" s="2" t="n">
        <v>176374</v>
      </c>
      <c r="AA28" s="2" t="n">
        <v>1</v>
      </c>
      <c r="AB28" s="2" t="s">
        <v>34</v>
      </c>
      <c r="AC28" s="2" t="s">
        <v>35</v>
      </c>
      <c r="AE28" s="2" t="s">
        <v>36</v>
      </c>
      <c r="AF28" s="2" t="n">
        <v>119.92133056139</v>
      </c>
      <c r="AG28" s="2" t="s">
        <v>37</v>
      </c>
    </row>
    <row r="29" customFormat="false" ht="15" hidden="false" customHeight="false" outlineLevel="0" collapsed="false">
      <c r="A29" s="2" t="n">
        <v>27</v>
      </c>
      <c r="B29" s="2" t="n">
        <v>0</v>
      </c>
      <c r="C29" s="2" t="n">
        <v>27</v>
      </c>
      <c r="D29" s="2" t="s">
        <v>38</v>
      </c>
      <c r="E29" s="2" t="n">
        <v>1</v>
      </c>
      <c r="F29" s="2" t="n">
        <v>0.889490900561214</v>
      </c>
      <c r="H29" s="2" t="n">
        <v>-3</v>
      </c>
      <c r="I29" s="2" t="n">
        <v>27</v>
      </c>
      <c r="J29" s="2" t="n">
        <v>0</v>
      </c>
      <c r="K29" s="2" t="n">
        <v>27</v>
      </c>
      <c r="L29" s="2" t="n">
        <v>0</v>
      </c>
      <c r="M29" s="2" t="n">
        <v>48.6904772007838</v>
      </c>
      <c r="P29" s="2" t="n">
        <v>48.6841164007783</v>
      </c>
      <c r="Q29" s="2" t="n">
        <v>48.6904772007838</v>
      </c>
      <c r="R29" s="2" t="n">
        <v>49.6741755008698</v>
      </c>
      <c r="S29" s="2" t="n">
        <v>49.6830300008878</v>
      </c>
      <c r="T29" s="2" t="n">
        <v>50.5658234003931</v>
      </c>
      <c r="U29" s="2" t="s">
        <v>38</v>
      </c>
      <c r="V29" s="2" t="n">
        <v>1</v>
      </c>
      <c r="W29" s="2" t="n">
        <v>0.889490900561214</v>
      </c>
      <c r="Y29" s="2" t="n">
        <v>-3</v>
      </c>
      <c r="Z29" s="2" t="n">
        <v>176374</v>
      </c>
      <c r="AA29" s="2" t="n">
        <v>1</v>
      </c>
      <c r="AB29" s="2" t="s">
        <v>34</v>
      </c>
      <c r="AC29" s="2" t="s">
        <v>35</v>
      </c>
      <c r="AE29" s="2" t="s">
        <v>36</v>
      </c>
      <c r="AF29" s="2" t="n">
        <v>119.92133056139</v>
      </c>
      <c r="AG29" s="2" t="s">
        <v>37</v>
      </c>
    </row>
    <row r="30" customFormat="false" ht="15" hidden="false" customHeight="false" outlineLevel="0" collapsed="false">
      <c r="A30" s="2" t="n">
        <v>28</v>
      </c>
      <c r="B30" s="2" t="n">
        <v>0</v>
      </c>
      <c r="C30" s="2" t="n">
        <v>28</v>
      </c>
      <c r="D30" s="2" t="s">
        <v>33</v>
      </c>
      <c r="E30" s="2" t="n">
        <v>1</v>
      </c>
      <c r="F30" s="2" t="n">
        <v>0.673604300245643</v>
      </c>
      <c r="H30" s="2" t="n">
        <v>0</v>
      </c>
      <c r="I30" s="2" t="n">
        <v>28</v>
      </c>
      <c r="J30" s="2" t="n">
        <v>0</v>
      </c>
      <c r="K30" s="2" t="n">
        <v>28</v>
      </c>
      <c r="L30" s="2" t="n">
        <v>0</v>
      </c>
      <c r="M30" s="2" t="n">
        <v>50.5739827007055</v>
      </c>
      <c r="P30" s="2" t="n">
        <v>50.5661679003388</v>
      </c>
      <c r="Q30" s="2" t="n">
        <v>50.5739827007055</v>
      </c>
      <c r="R30" s="2" t="n">
        <v>51.557432600297</v>
      </c>
      <c r="S30" s="2" t="n">
        <v>51.5655450001359</v>
      </c>
      <c r="T30" s="2" t="n">
        <v>52.2330975001678</v>
      </c>
      <c r="U30" s="2" t="s">
        <v>33</v>
      </c>
      <c r="V30" s="2" t="n">
        <v>1</v>
      </c>
      <c r="W30" s="2" t="n">
        <v>0.673604300245643</v>
      </c>
      <c r="Y30" s="2" t="n">
        <v>0</v>
      </c>
      <c r="Z30" s="2" t="n">
        <v>176374</v>
      </c>
      <c r="AA30" s="2" t="n">
        <v>1</v>
      </c>
      <c r="AB30" s="2" t="s">
        <v>34</v>
      </c>
      <c r="AC30" s="2" t="s">
        <v>35</v>
      </c>
      <c r="AE30" s="2" t="s">
        <v>36</v>
      </c>
      <c r="AF30" s="2" t="n">
        <v>119.92133056139</v>
      </c>
      <c r="AG30" s="2" t="s">
        <v>37</v>
      </c>
    </row>
    <row r="31" customFormat="false" ht="15" hidden="false" customHeight="false" outlineLevel="0" collapsed="false">
      <c r="A31" s="2" t="n">
        <v>29</v>
      </c>
      <c r="B31" s="2" t="n">
        <v>0</v>
      </c>
      <c r="C31" s="2" t="n">
        <v>29</v>
      </c>
      <c r="D31" s="2" t="s">
        <v>38</v>
      </c>
      <c r="E31" s="2" t="n">
        <v>1</v>
      </c>
      <c r="F31" s="2" t="n">
        <v>0.907525099813938</v>
      </c>
      <c r="H31" s="2" t="n">
        <v>3</v>
      </c>
      <c r="I31" s="2" t="n">
        <v>29</v>
      </c>
      <c r="J31" s="2" t="n">
        <v>0</v>
      </c>
      <c r="K31" s="2" t="n">
        <v>29</v>
      </c>
      <c r="L31" s="2" t="n">
        <v>0</v>
      </c>
      <c r="M31" s="2" t="n">
        <v>52.2404602002353</v>
      </c>
      <c r="P31" s="2" t="n">
        <v>52.233527100645</v>
      </c>
      <c r="Q31" s="2" t="n">
        <v>52.2404602002353</v>
      </c>
      <c r="R31" s="2" t="n">
        <v>53.2241302002221</v>
      </c>
      <c r="S31" s="2" t="n">
        <v>53.2328937007114</v>
      </c>
      <c r="T31" s="2" t="n">
        <v>54.1330220000818</v>
      </c>
      <c r="U31" s="2" t="s">
        <v>38</v>
      </c>
      <c r="V31" s="2" t="n">
        <v>1</v>
      </c>
      <c r="W31" s="2" t="n">
        <v>0.907525099813938</v>
      </c>
      <c r="Y31" s="2" t="n">
        <v>3</v>
      </c>
      <c r="Z31" s="2" t="n">
        <v>176374</v>
      </c>
      <c r="AA31" s="2" t="n">
        <v>1</v>
      </c>
      <c r="AB31" s="2" t="s">
        <v>34</v>
      </c>
      <c r="AC31" s="2" t="s">
        <v>35</v>
      </c>
      <c r="AE31" s="2" t="s">
        <v>36</v>
      </c>
      <c r="AF31" s="2" t="n">
        <v>119.92133056139</v>
      </c>
      <c r="AG31" s="2" t="s">
        <v>37</v>
      </c>
    </row>
    <row r="32" customFormat="false" ht="15" hidden="false" customHeight="false" outlineLevel="0" collapsed="false">
      <c r="A32" s="2" t="n">
        <v>30</v>
      </c>
      <c r="B32" s="2" t="n">
        <v>0</v>
      </c>
      <c r="C32" s="2" t="n">
        <v>30</v>
      </c>
      <c r="D32" s="2" t="s">
        <v>33</v>
      </c>
      <c r="E32" s="2" t="n">
        <v>1</v>
      </c>
      <c r="F32" s="2" t="n">
        <v>0.575343700125814</v>
      </c>
      <c r="H32" s="2" t="n">
        <v>0</v>
      </c>
      <c r="I32" s="2" t="n">
        <v>30</v>
      </c>
      <c r="J32" s="2" t="n">
        <v>0</v>
      </c>
      <c r="K32" s="2" t="n">
        <v>30</v>
      </c>
      <c r="L32" s="2" t="n">
        <v>0</v>
      </c>
      <c r="M32" s="2" t="n">
        <v>54.1402684003115</v>
      </c>
      <c r="P32" s="2" t="n">
        <v>54.133470300585</v>
      </c>
      <c r="Q32" s="2" t="n">
        <v>54.1402684003115</v>
      </c>
      <c r="R32" s="2" t="n">
        <v>55.1240203008056</v>
      </c>
      <c r="S32" s="2" t="n">
        <v>55.1323141008616</v>
      </c>
      <c r="T32" s="2" t="n">
        <v>55.7078141001985</v>
      </c>
      <c r="U32" s="2" t="s">
        <v>33</v>
      </c>
      <c r="V32" s="2" t="n">
        <v>1</v>
      </c>
      <c r="W32" s="2" t="n">
        <v>0.575343700125814</v>
      </c>
      <c r="Y32" s="2" t="n">
        <v>0</v>
      </c>
      <c r="Z32" s="2" t="n">
        <v>176374</v>
      </c>
      <c r="AA32" s="2" t="n">
        <v>1</v>
      </c>
      <c r="AB32" s="2" t="s">
        <v>34</v>
      </c>
      <c r="AC32" s="2" t="s">
        <v>35</v>
      </c>
      <c r="AE32" s="2" t="s">
        <v>36</v>
      </c>
      <c r="AF32" s="2" t="n">
        <v>119.92133056139</v>
      </c>
      <c r="AG32" s="2" t="s">
        <v>37</v>
      </c>
    </row>
    <row r="33" customFormat="false" ht="15" hidden="false" customHeight="false" outlineLevel="0" collapsed="false">
      <c r="A33" s="2" t="n">
        <v>31</v>
      </c>
      <c r="B33" s="2" t="n">
        <v>0</v>
      </c>
      <c r="C33" s="2" t="n">
        <v>31</v>
      </c>
      <c r="D33" s="2" t="s">
        <v>38</v>
      </c>
      <c r="E33" s="2" t="n">
        <v>1</v>
      </c>
      <c r="F33" s="2" t="n">
        <v>0.587462099269033</v>
      </c>
      <c r="H33" s="2" t="n">
        <v>-1</v>
      </c>
      <c r="I33" s="2" t="n">
        <v>31</v>
      </c>
      <c r="J33" s="2" t="n">
        <v>0</v>
      </c>
      <c r="K33" s="2" t="n">
        <v>31</v>
      </c>
      <c r="L33" s="2" t="n">
        <v>0</v>
      </c>
      <c r="M33" s="2" t="n">
        <v>55.7151907002553</v>
      </c>
      <c r="P33" s="2" t="n">
        <v>55.7082798006013</v>
      </c>
      <c r="Q33" s="2" t="n">
        <v>55.7151907002553</v>
      </c>
      <c r="R33" s="2" t="n">
        <v>56.6988633004949</v>
      </c>
      <c r="S33" s="2" t="n">
        <v>56.7077353000641</v>
      </c>
      <c r="T33" s="2" t="n">
        <v>57.2916090004146</v>
      </c>
      <c r="U33" s="2" t="s">
        <v>38</v>
      </c>
      <c r="V33" s="2" t="n">
        <v>1</v>
      </c>
      <c r="W33" s="2" t="n">
        <v>0.587462099269033</v>
      </c>
      <c r="Y33" s="2" t="n">
        <v>-1</v>
      </c>
      <c r="Z33" s="2" t="n">
        <v>176374</v>
      </c>
      <c r="AA33" s="2" t="n">
        <v>1</v>
      </c>
      <c r="AB33" s="2" t="s">
        <v>34</v>
      </c>
      <c r="AC33" s="2" t="s">
        <v>35</v>
      </c>
      <c r="AE33" s="2" t="s">
        <v>36</v>
      </c>
      <c r="AF33" s="2" t="n">
        <v>119.92133056139</v>
      </c>
      <c r="AG33" s="2" t="s">
        <v>37</v>
      </c>
    </row>
    <row r="34" customFormat="false" ht="15" hidden="false" customHeight="false" outlineLevel="0" collapsed="false">
      <c r="A34" s="2" t="n">
        <v>32</v>
      </c>
      <c r="B34" s="2" t="n">
        <v>0</v>
      </c>
      <c r="C34" s="2" t="n">
        <v>32</v>
      </c>
      <c r="D34" s="2" t="s">
        <v>33</v>
      </c>
      <c r="E34" s="2" t="n">
        <v>1</v>
      </c>
      <c r="F34" s="2" t="n">
        <v>0.569100700318813</v>
      </c>
      <c r="H34" s="2" t="n">
        <v>0</v>
      </c>
      <c r="I34" s="2" t="n">
        <v>32</v>
      </c>
      <c r="J34" s="2" t="n">
        <v>0</v>
      </c>
      <c r="K34" s="2" t="n">
        <v>32</v>
      </c>
      <c r="L34" s="2" t="n">
        <v>0</v>
      </c>
      <c r="M34" s="2" t="n">
        <v>57.2991641005501</v>
      </c>
      <c r="P34" s="2" t="n">
        <v>57.2919900007546</v>
      </c>
      <c r="Q34" s="2" t="n">
        <v>57.2991641005501</v>
      </c>
      <c r="R34" s="2" t="n">
        <v>58.290466000326</v>
      </c>
      <c r="S34" s="2" t="n">
        <v>58.290466000326</v>
      </c>
      <c r="T34" s="2" t="n">
        <v>58.8659701002762</v>
      </c>
      <c r="U34" s="2" t="s">
        <v>33</v>
      </c>
      <c r="V34" s="2" t="n">
        <v>1</v>
      </c>
      <c r="W34" s="2" t="n">
        <v>0.569100700318813</v>
      </c>
      <c r="Y34" s="2" t="n">
        <v>0</v>
      </c>
      <c r="Z34" s="2" t="n">
        <v>176374</v>
      </c>
      <c r="AA34" s="2" t="n">
        <v>1</v>
      </c>
      <c r="AB34" s="2" t="s">
        <v>34</v>
      </c>
      <c r="AC34" s="2" t="s">
        <v>35</v>
      </c>
      <c r="AE34" s="2" t="s">
        <v>36</v>
      </c>
      <c r="AF34" s="2" t="n">
        <v>119.92133056139</v>
      </c>
      <c r="AG34" s="2" t="s">
        <v>37</v>
      </c>
    </row>
    <row r="35" customFormat="false" ht="15" hidden="false" customHeight="false" outlineLevel="0" collapsed="false">
      <c r="A35" s="2" t="n">
        <v>33</v>
      </c>
      <c r="B35" s="2" t="n">
        <v>0</v>
      </c>
      <c r="C35" s="2" t="n">
        <v>33</v>
      </c>
      <c r="D35" s="2" t="s">
        <v>33</v>
      </c>
      <c r="E35" s="2" t="n">
        <v>1</v>
      </c>
      <c r="F35" s="2" t="n">
        <v>0.358388300053775</v>
      </c>
      <c r="H35" s="2" t="n">
        <v>0</v>
      </c>
      <c r="I35" s="2" t="n">
        <v>33</v>
      </c>
      <c r="J35" s="2" t="n">
        <v>0</v>
      </c>
      <c r="K35" s="2" t="n">
        <v>33</v>
      </c>
      <c r="L35" s="2" t="n">
        <v>0</v>
      </c>
      <c r="M35" s="2" t="n">
        <v>58.8740297006443</v>
      </c>
      <c r="P35" s="2" t="n">
        <v>58.8664375003427</v>
      </c>
      <c r="Q35" s="2" t="n">
        <v>58.8740297006443</v>
      </c>
      <c r="R35" s="2" t="n">
        <v>59.8573169000447</v>
      </c>
      <c r="S35" s="2" t="n">
        <v>59.8656045002863</v>
      </c>
      <c r="T35" s="2" t="n">
        <v>60.2171166008338</v>
      </c>
      <c r="U35" s="2" t="s">
        <v>33</v>
      </c>
      <c r="V35" s="2" t="n">
        <v>1</v>
      </c>
      <c r="W35" s="2" t="n">
        <v>0.358388300053775</v>
      </c>
      <c r="Y35" s="2" t="n">
        <v>0</v>
      </c>
      <c r="Z35" s="2" t="n">
        <v>176374</v>
      </c>
      <c r="AA35" s="2" t="n">
        <v>1</v>
      </c>
      <c r="AB35" s="2" t="s">
        <v>34</v>
      </c>
      <c r="AC35" s="2" t="s">
        <v>35</v>
      </c>
      <c r="AE35" s="2" t="s">
        <v>36</v>
      </c>
      <c r="AF35" s="2" t="n">
        <v>119.92133056139</v>
      </c>
      <c r="AG35" s="2" t="s">
        <v>37</v>
      </c>
    </row>
    <row r="36" customFormat="false" ht="15" hidden="false" customHeight="false" outlineLevel="0" collapsed="false">
      <c r="A36" s="2" t="n">
        <v>34</v>
      </c>
      <c r="B36" s="2" t="n">
        <v>0</v>
      </c>
      <c r="C36" s="2" t="n">
        <v>34</v>
      </c>
      <c r="D36" s="2" t="s">
        <v>33</v>
      </c>
      <c r="E36" s="2" t="n">
        <v>1</v>
      </c>
      <c r="F36" s="2" t="n">
        <v>0.36150089930743</v>
      </c>
      <c r="H36" s="2" t="n">
        <v>0</v>
      </c>
      <c r="I36" s="2" t="n">
        <v>34</v>
      </c>
      <c r="J36" s="2" t="n">
        <v>0</v>
      </c>
      <c r="K36" s="2" t="n">
        <v>34</v>
      </c>
      <c r="L36" s="2" t="n">
        <v>0</v>
      </c>
      <c r="M36" s="2" t="n">
        <v>60.2236504005268</v>
      </c>
      <c r="P36" s="2" t="n">
        <v>60.2176736006513</v>
      </c>
      <c r="Q36" s="2" t="n">
        <v>60.2236504005268</v>
      </c>
      <c r="R36" s="2" t="n">
        <v>61.2153843007982</v>
      </c>
      <c r="S36" s="2" t="n">
        <v>61.2153843007982</v>
      </c>
      <c r="T36" s="2" t="n">
        <v>61.583335400559</v>
      </c>
      <c r="U36" s="2" t="s">
        <v>33</v>
      </c>
      <c r="V36" s="2" t="n">
        <v>1</v>
      </c>
      <c r="W36" s="2" t="n">
        <v>0.36150089930743</v>
      </c>
      <c r="Y36" s="2" t="n">
        <v>0</v>
      </c>
      <c r="Z36" s="2" t="n">
        <v>176374</v>
      </c>
      <c r="AA36" s="2" t="n">
        <v>1</v>
      </c>
      <c r="AB36" s="2" t="s">
        <v>34</v>
      </c>
      <c r="AC36" s="2" t="s">
        <v>35</v>
      </c>
      <c r="AE36" s="2" t="s">
        <v>36</v>
      </c>
      <c r="AF36" s="2" t="n">
        <v>119.92133056139</v>
      </c>
      <c r="AG36" s="2" t="s">
        <v>37</v>
      </c>
    </row>
    <row r="37" customFormat="false" ht="15" hidden="false" customHeight="false" outlineLevel="0" collapsed="false">
      <c r="A37" s="2" t="n">
        <v>35</v>
      </c>
      <c r="B37" s="2" t="n">
        <v>0</v>
      </c>
      <c r="C37" s="2" t="n">
        <v>35</v>
      </c>
      <c r="D37" s="2" t="s">
        <v>33</v>
      </c>
      <c r="E37" s="2" t="n">
        <v>1</v>
      </c>
      <c r="F37" s="2" t="n">
        <v>0.453736300580204</v>
      </c>
      <c r="H37" s="2" t="n">
        <v>0</v>
      </c>
      <c r="I37" s="2" t="n">
        <v>35</v>
      </c>
      <c r="J37" s="2" t="n">
        <v>0</v>
      </c>
      <c r="K37" s="2" t="n">
        <v>35</v>
      </c>
      <c r="L37" s="2" t="n">
        <v>0</v>
      </c>
      <c r="M37" s="2" t="n">
        <v>61.5906409006566</v>
      </c>
      <c r="P37" s="2" t="n">
        <v>61.583857100457</v>
      </c>
      <c r="Q37" s="2" t="n">
        <v>61.5906409006566</v>
      </c>
      <c r="R37" s="2" t="n">
        <v>62.5819972008467</v>
      </c>
      <c r="S37" s="2" t="n">
        <v>62.5819972008467</v>
      </c>
      <c r="T37" s="2" t="n">
        <v>63.0411033006385</v>
      </c>
      <c r="U37" s="2" t="s">
        <v>33</v>
      </c>
      <c r="V37" s="2" t="n">
        <v>1</v>
      </c>
      <c r="W37" s="2" t="n">
        <v>0.453736300580204</v>
      </c>
      <c r="Y37" s="2" t="n">
        <v>0</v>
      </c>
      <c r="Z37" s="2" t="n">
        <v>176374</v>
      </c>
      <c r="AA37" s="2" t="n">
        <v>1</v>
      </c>
      <c r="AB37" s="2" t="s">
        <v>34</v>
      </c>
      <c r="AC37" s="2" t="s">
        <v>35</v>
      </c>
      <c r="AE37" s="2" t="s">
        <v>36</v>
      </c>
      <c r="AF37" s="2" t="n">
        <v>119.92133056139</v>
      </c>
      <c r="AG37" s="2" t="s">
        <v>37</v>
      </c>
    </row>
    <row r="38" customFormat="false" ht="15" hidden="false" customHeight="false" outlineLevel="0" collapsed="false">
      <c r="A38" s="2" t="n">
        <v>36</v>
      </c>
      <c r="B38" s="2" t="n">
        <v>0</v>
      </c>
      <c r="C38" s="2" t="n">
        <v>36</v>
      </c>
      <c r="D38" s="2" t="s">
        <v>38</v>
      </c>
      <c r="E38" s="2" t="n">
        <v>1</v>
      </c>
      <c r="F38" s="2" t="n">
        <v>0.663143400102854</v>
      </c>
      <c r="H38" s="2" t="n">
        <v>-5</v>
      </c>
      <c r="I38" s="2" t="n">
        <v>36</v>
      </c>
      <c r="J38" s="2" t="n">
        <v>0</v>
      </c>
      <c r="K38" s="2" t="n">
        <v>36</v>
      </c>
      <c r="L38" s="2" t="n">
        <v>0</v>
      </c>
      <c r="M38" s="2" t="n">
        <v>63.0485955001786</v>
      </c>
      <c r="P38" s="2" t="n">
        <v>63.041548400186</v>
      </c>
      <c r="Q38" s="2" t="n">
        <v>63.0485955001786</v>
      </c>
      <c r="R38" s="2" t="n">
        <v>64.031932300888</v>
      </c>
      <c r="S38" s="2" t="n">
        <v>64.0401002001017</v>
      </c>
      <c r="T38" s="2" t="n">
        <v>64.6992145003751</v>
      </c>
      <c r="U38" s="2" t="s">
        <v>38</v>
      </c>
      <c r="V38" s="2" t="n">
        <v>1</v>
      </c>
      <c r="W38" s="2" t="n">
        <v>0.663143400102854</v>
      </c>
      <c r="Y38" s="2" t="n">
        <v>-5</v>
      </c>
      <c r="Z38" s="2" t="n">
        <v>176374</v>
      </c>
      <c r="AA38" s="2" t="n">
        <v>1</v>
      </c>
      <c r="AB38" s="2" t="s">
        <v>34</v>
      </c>
      <c r="AC38" s="2" t="s">
        <v>35</v>
      </c>
      <c r="AE38" s="2" t="s">
        <v>36</v>
      </c>
      <c r="AF38" s="2" t="n">
        <v>119.92133056139</v>
      </c>
      <c r="AG38" s="2" t="s">
        <v>37</v>
      </c>
    </row>
    <row r="39" customFormat="false" ht="15" hidden="false" customHeight="false" outlineLevel="0" collapsed="false">
      <c r="A39" s="2" t="n">
        <v>37</v>
      </c>
      <c r="B39" s="2" t="n">
        <v>0</v>
      </c>
      <c r="C39" s="2" t="n">
        <v>37</v>
      </c>
      <c r="D39" s="2" t="s">
        <v>33</v>
      </c>
      <c r="E39" s="2" t="n">
        <v>1</v>
      </c>
      <c r="F39" s="2" t="n">
        <v>0.373422900214791</v>
      </c>
      <c r="H39" s="2" t="n">
        <v>0</v>
      </c>
      <c r="I39" s="2" t="n">
        <v>37</v>
      </c>
      <c r="J39" s="2" t="n">
        <v>0</v>
      </c>
      <c r="K39" s="2" t="n">
        <v>37</v>
      </c>
      <c r="L39" s="2" t="n">
        <v>0</v>
      </c>
      <c r="M39" s="2" t="n">
        <v>64.7080345004797</v>
      </c>
      <c r="P39" s="2" t="n">
        <v>64.6997689008713</v>
      </c>
      <c r="Q39" s="2" t="n">
        <v>64.7080345004797</v>
      </c>
      <c r="R39" s="2" t="n">
        <v>65.6908841002733</v>
      </c>
      <c r="S39" s="2" t="n">
        <v>65.6986204003915</v>
      </c>
      <c r="T39" s="2" t="n">
        <v>66.0661305002868</v>
      </c>
      <c r="U39" s="2" t="s">
        <v>33</v>
      </c>
      <c r="V39" s="2" t="n">
        <v>1</v>
      </c>
      <c r="W39" s="2" t="n">
        <v>0.373422900214791</v>
      </c>
      <c r="Y39" s="2" t="n">
        <v>0</v>
      </c>
      <c r="Z39" s="2" t="n">
        <v>176374</v>
      </c>
      <c r="AA39" s="2" t="n">
        <v>1</v>
      </c>
      <c r="AB39" s="2" t="s">
        <v>34</v>
      </c>
      <c r="AC39" s="2" t="s">
        <v>35</v>
      </c>
      <c r="AE39" s="2" t="s">
        <v>36</v>
      </c>
      <c r="AF39" s="2" t="n">
        <v>119.92133056139</v>
      </c>
      <c r="AG39" s="2" t="s">
        <v>37</v>
      </c>
    </row>
    <row r="40" customFormat="false" ht="15" hidden="false" customHeight="false" outlineLevel="0" collapsed="false">
      <c r="A40" s="2" t="n">
        <v>38</v>
      </c>
      <c r="B40" s="2" t="n">
        <v>0</v>
      </c>
      <c r="C40" s="2" t="n">
        <v>38</v>
      </c>
      <c r="D40" s="2" t="s">
        <v>33</v>
      </c>
      <c r="E40" s="2" t="n">
        <v>0</v>
      </c>
      <c r="F40" s="2" t="n">
        <v>0.706958999857307</v>
      </c>
      <c r="H40" s="2" t="n">
        <v>-1</v>
      </c>
      <c r="I40" s="2" t="n">
        <v>38</v>
      </c>
      <c r="J40" s="2" t="n">
        <v>0</v>
      </c>
      <c r="K40" s="2" t="n">
        <v>38</v>
      </c>
      <c r="L40" s="2" t="n">
        <v>0</v>
      </c>
      <c r="M40" s="2" t="n">
        <v>66.0733797000721</v>
      </c>
      <c r="P40" s="2" t="n">
        <v>66.0666728001088</v>
      </c>
      <c r="Q40" s="2" t="n">
        <v>66.0733797000721</v>
      </c>
      <c r="R40" s="2" t="n">
        <v>67.0575734004378</v>
      </c>
      <c r="S40" s="2" t="n">
        <v>67.0655918000266</v>
      </c>
      <c r="T40" s="2" t="n">
        <v>67.767770900391</v>
      </c>
      <c r="U40" s="2" t="s">
        <v>33</v>
      </c>
      <c r="V40" s="2" t="n">
        <v>0</v>
      </c>
      <c r="W40" s="2" t="n">
        <v>0.706958999857307</v>
      </c>
      <c r="Y40" s="2" t="n">
        <v>-1</v>
      </c>
      <c r="Z40" s="2" t="n">
        <v>176374</v>
      </c>
      <c r="AA40" s="2" t="n">
        <v>1</v>
      </c>
      <c r="AB40" s="2" t="s">
        <v>34</v>
      </c>
      <c r="AC40" s="2" t="s">
        <v>35</v>
      </c>
      <c r="AE40" s="2" t="s">
        <v>36</v>
      </c>
      <c r="AF40" s="2" t="n">
        <v>119.92133056139</v>
      </c>
      <c r="AG40" s="2" t="s">
        <v>37</v>
      </c>
    </row>
    <row r="41" customFormat="false" ht="15" hidden="false" customHeight="false" outlineLevel="0" collapsed="false">
      <c r="A41" s="2" t="n">
        <v>39</v>
      </c>
      <c r="B41" s="2" t="n">
        <v>0</v>
      </c>
      <c r="C41" s="2" t="n">
        <v>39</v>
      </c>
      <c r="D41" s="2" t="s">
        <v>33</v>
      </c>
      <c r="E41" s="2" t="n">
        <v>1</v>
      </c>
      <c r="F41" s="2" t="n">
        <v>1.16903049964458</v>
      </c>
      <c r="H41" s="2" t="n">
        <v>0</v>
      </c>
      <c r="I41" s="2" t="n">
        <v>39</v>
      </c>
      <c r="J41" s="2" t="n">
        <v>0</v>
      </c>
      <c r="K41" s="2" t="n">
        <v>39</v>
      </c>
      <c r="L41" s="2" t="n">
        <v>0</v>
      </c>
      <c r="M41" s="2" t="n">
        <v>67.7735290005803</v>
      </c>
      <c r="P41" s="2" t="n">
        <v>67.7682015001774</v>
      </c>
      <c r="Q41" s="2" t="n">
        <v>67.7735290005803</v>
      </c>
      <c r="R41" s="2" t="n">
        <v>68.7651690002531</v>
      </c>
      <c r="S41" s="2" t="n">
        <v>68.7651690002531</v>
      </c>
      <c r="T41" s="2" t="n">
        <v>69.9411152005196</v>
      </c>
      <c r="U41" s="2" t="s">
        <v>33</v>
      </c>
      <c r="V41" s="2" t="n">
        <v>1</v>
      </c>
      <c r="W41" s="2" t="n">
        <v>1.16903049964458</v>
      </c>
      <c r="Y41" s="2" t="n">
        <v>0</v>
      </c>
      <c r="Z41" s="2" t="n">
        <v>176374</v>
      </c>
      <c r="AA41" s="2" t="n">
        <v>1</v>
      </c>
      <c r="AB41" s="2" t="s">
        <v>34</v>
      </c>
      <c r="AC41" s="2" t="s">
        <v>35</v>
      </c>
      <c r="AE41" s="2" t="s">
        <v>36</v>
      </c>
      <c r="AF41" s="2" t="n">
        <v>119.92133056139</v>
      </c>
      <c r="AG41" s="2" t="s">
        <v>37</v>
      </c>
    </row>
    <row r="42" customFormat="false" ht="15" hidden="false" customHeight="false" outlineLevel="0" collapsed="false">
      <c r="A42" s="2" t="n">
        <v>40</v>
      </c>
      <c r="B42" s="2" t="n">
        <v>0</v>
      </c>
      <c r="C42" s="2" t="n">
        <v>40</v>
      </c>
      <c r="D42" s="2" t="s">
        <v>33</v>
      </c>
      <c r="E42" s="2" t="n">
        <v>1</v>
      </c>
      <c r="F42" s="2" t="n">
        <v>0.462964799255133</v>
      </c>
      <c r="H42" s="2" t="n">
        <v>0</v>
      </c>
      <c r="I42" s="2" t="n">
        <v>40</v>
      </c>
      <c r="J42" s="2" t="n">
        <v>0</v>
      </c>
      <c r="K42" s="2" t="n">
        <v>40</v>
      </c>
      <c r="L42" s="2" t="n">
        <v>0</v>
      </c>
      <c r="M42" s="2" t="n">
        <v>69.9486089004204</v>
      </c>
      <c r="P42" s="2" t="n">
        <v>69.9415416000411</v>
      </c>
      <c r="Q42" s="2" t="n">
        <v>69.9486089004204</v>
      </c>
      <c r="R42" s="2" t="n">
        <v>70.9320066003129</v>
      </c>
      <c r="S42" s="2" t="n">
        <v>70.9404465006664</v>
      </c>
      <c r="T42" s="2" t="n">
        <v>71.3994729006663</v>
      </c>
      <c r="U42" s="2" t="s">
        <v>33</v>
      </c>
      <c r="V42" s="2" t="n">
        <v>1</v>
      </c>
      <c r="W42" s="2" t="n">
        <v>0.462964799255133</v>
      </c>
      <c r="Y42" s="2" t="n">
        <v>0</v>
      </c>
      <c r="Z42" s="2" t="n">
        <v>176374</v>
      </c>
      <c r="AA42" s="2" t="n">
        <v>1</v>
      </c>
      <c r="AB42" s="2" t="s">
        <v>34</v>
      </c>
      <c r="AC42" s="2" t="s">
        <v>35</v>
      </c>
      <c r="AE42" s="2" t="s">
        <v>36</v>
      </c>
      <c r="AF42" s="2" t="n">
        <v>119.92133056139</v>
      </c>
      <c r="AG42" s="2" t="s">
        <v>37</v>
      </c>
    </row>
    <row r="43" customFormat="false" ht="15" hidden="false" customHeight="false" outlineLevel="0" collapsed="false">
      <c r="A43" s="2" t="n">
        <v>41</v>
      </c>
      <c r="B43" s="2" t="n">
        <v>0</v>
      </c>
      <c r="C43" s="2" t="n">
        <v>41</v>
      </c>
      <c r="D43" s="2" t="s">
        <v>38</v>
      </c>
      <c r="E43" s="2" t="n">
        <v>1</v>
      </c>
      <c r="F43" s="2" t="n">
        <v>0.604773900471628</v>
      </c>
      <c r="H43" s="2" t="n">
        <v>-2</v>
      </c>
      <c r="I43" s="2" t="n">
        <v>41</v>
      </c>
      <c r="J43" s="2" t="n">
        <v>0</v>
      </c>
      <c r="K43" s="2" t="n">
        <v>41</v>
      </c>
      <c r="L43" s="2" t="n">
        <v>0</v>
      </c>
      <c r="M43" s="2" t="n">
        <v>71.4065882004798</v>
      </c>
      <c r="P43" s="2" t="n">
        <v>71.4000021005049</v>
      </c>
      <c r="Q43" s="2" t="n">
        <v>71.4065882004798</v>
      </c>
      <c r="R43" s="2" t="n">
        <v>72.39847380016</v>
      </c>
      <c r="S43" s="2" t="n">
        <v>72.39847380016</v>
      </c>
      <c r="T43" s="2" t="n">
        <v>73.0083422008902</v>
      </c>
      <c r="U43" s="2" t="s">
        <v>38</v>
      </c>
      <c r="V43" s="2" t="n">
        <v>1</v>
      </c>
      <c r="W43" s="2" t="n">
        <v>0.604773900471628</v>
      </c>
      <c r="Y43" s="2" t="n">
        <v>-2</v>
      </c>
      <c r="Z43" s="2" t="n">
        <v>176374</v>
      </c>
      <c r="AA43" s="2" t="n">
        <v>1</v>
      </c>
      <c r="AB43" s="2" t="s">
        <v>34</v>
      </c>
      <c r="AC43" s="2" t="s">
        <v>35</v>
      </c>
      <c r="AE43" s="2" t="s">
        <v>36</v>
      </c>
      <c r="AF43" s="2" t="n">
        <v>119.92133056139</v>
      </c>
      <c r="AG43" s="2" t="s">
        <v>37</v>
      </c>
    </row>
    <row r="44" customFormat="false" ht="15" hidden="false" customHeight="false" outlineLevel="0" collapsed="false">
      <c r="A44" s="2" t="n">
        <v>42</v>
      </c>
      <c r="B44" s="2" t="n">
        <v>0</v>
      </c>
      <c r="C44" s="2" t="n">
        <v>42</v>
      </c>
      <c r="D44" s="2" t="s">
        <v>33</v>
      </c>
      <c r="E44" s="2" t="n">
        <v>1</v>
      </c>
      <c r="F44" s="2" t="n">
        <v>0.458248999901116</v>
      </c>
      <c r="H44" s="2" t="n">
        <v>0</v>
      </c>
      <c r="I44" s="2" t="n">
        <v>42</v>
      </c>
      <c r="J44" s="2" t="n">
        <v>0</v>
      </c>
      <c r="K44" s="2" t="n">
        <v>42</v>
      </c>
      <c r="L44" s="2" t="n">
        <v>0</v>
      </c>
      <c r="M44" s="2" t="n">
        <v>73.014856800437</v>
      </c>
      <c r="P44" s="2" t="n">
        <v>73.0088100004941</v>
      </c>
      <c r="Q44" s="2" t="n">
        <v>73.014856800437</v>
      </c>
      <c r="R44" s="2" t="n">
        <v>74.0067259008065</v>
      </c>
      <c r="S44" s="2" t="n">
        <v>74.0067259008065</v>
      </c>
      <c r="T44" s="2" t="n">
        <v>74.4665544005111</v>
      </c>
      <c r="U44" s="2" t="s">
        <v>33</v>
      </c>
      <c r="V44" s="2" t="n">
        <v>1</v>
      </c>
      <c r="W44" s="2" t="n">
        <v>0.458248999901116</v>
      </c>
      <c r="Y44" s="2" t="n">
        <v>0</v>
      </c>
      <c r="Z44" s="2" t="n">
        <v>176374</v>
      </c>
      <c r="AA44" s="2" t="n">
        <v>1</v>
      </c>
      <c r="AB44" s="2" t="s">
        <v>34</v>
      </c>
      <c r="AC44" s="2" t="s">
        <v>35</v>
      </c>
      <c r="AE44" s="2" t="s">
        <v>36</v>
      </c>
      <c r="AF44" s="2" t="n">
        <v>119.92133056139</v>
      </c>
      <c r="AG44" s="2" t="s">
        <v>37</v>
      </c>
    </row>
    <row r="45" customFormat="false" ht="15" hidden="false" customHeight="false" outlineLevel="0" collapsed="false">
      <c r="A45" s="2" t="n">
        <v>43</v>
      </c>
      <c r="B45" s="2" t="n">
        <v>0</v>
      </c>
      <c r="C45" s="2" t="n">
        <v>43</v>
      </c>
      <c r="D45" s="2" t="s">
        <v>33</v>
      </c>
      <c r="E45" s="2" t="n">
        <v>1</v>
      </c>
      <c r="F45" s="2" t="n">
        <v>0.452604499645531</v>
      </c>
      <c r="H45" s="2" t="n">
        <v>0</v>
      </c>
      <c r="I45" s="2" t="n">
        <v>43</v>
      </c>
      <c r="J45" s="2" t="n">
        <v>0</v>
      </c>
      <c r="K45" s="2" t="n">
        <v>43</v>
      </c>
      <c r="L45" s="2" t="n">
        <v>0</v>
      </c>
      <c r="M45" s="2" t="n">
        <v>74.4733329005539</v>
      </c>
      <c r="P45" s="2" t="n">
        <v>74.4670309005305</v>
      </c>
      <c r="Q45" s="2" t="n">
        <v>74.4733329005539</v>
      </c>
      <c r="R45" s="2" t="n">
        <v>75.464676800184</v>
      </c>
      <c r="S45" s="2" t="n">
        <v>75.464676800184</v>
      </c>
      <c r="T45" s="2" t="n">
        <v>75.9237779006362</v>
      </c>
      <c r="U45" s="2" t="s">
        <v>33</v>
      </c>
      <c r="V45" s="2" t="n">
        <v>1</v>
      </c>
      <c r="W45" s="2" t="n">
        <v>0.452604499645531</v>
      </c>
      <c r="Y45" s="2" t="n">
        <v>0</v>
      </c>
      <c r="Z45" s="2" t="n">
        <v>176374</v>
      </c>
      <c r="AA45" s="2" t="n">
        <v>1</v>
      </c>
      <c r="AB45" s="2" t="s">
        <v>34</v>
      </c>
      <c r="AC45" s="2" t="s">
        <v>35</v>
      </c>
      <c r="AE45" s="2" t="s">
        <v>36</v>
      </c>
      <c r="AF45" s="2" t="n">
        <v>119.92133056139</v>
      </c>
      <c r="AG45" s="2" t="s">
        <v>37</v>
      </c>
    </row>
    <row r="46" customFormat="false" ht="15" hidden="false" customHeight="false" outlineLevel="0" collapsed="false">
      <c r="A46" s="2" t="n">
        <v>44</v>
      </c>
      <c r="B46" s="2" t="n">
        <v>0</v>
      </c>
      <c r="C46" s="2" t="n">
        <v>44</v>
      </c>
      <c r="D46" s="2" t="s">
        <v>33</v>
      </c>
      <c r="E46" s="2" t="n">
        <v>0</v>
      </c>
      <c r="F46" s="2" t="n">
        <v>0.383338900282979</v>
      </c>
      <c r="H46" s="2" t="n">
        <v>2</v>
      </c>
      <c r="I46" s="2" t="n">
        <v>44</v>
      </c>
      <c r="J46" s="2" t="n">
        <v>0</v>
      </c>
      <c r="K46" s="2" t="n">
        <v>44</v>
      </c>
      <c r="L46" s="2" t="n">
        <v>0</v>
      </c>
      <c r="M46" s="2" t="n">
        <v>75.931565400213</v>
      </c>
      <c r="P46" s="2" t="n">
        <v>75.9241343000904</v>
      </c>
      <c r="Q46" s="2" t="n">
        <v>75.931565400213</v>
      </c>
      <c r="R46" s="2" t="n">
        <v>76.9153776001185</v>
      </c>
      <c r="S46" s="2" t="n">
        <v>76.9237800007686</v>
      </c>
      <c r="T46" s="2" t="n">
        <v>77.2993955006823</v>
      </c>
      <c r="U46" s="2" t="s">
        <v>33</v>
      </c>
      <c r="V46" s="2" t="n">
        <v>0</v>
      </c>
      <c r="W46" s="2" t="n">
        <v>0.383338900282979</v>
      </c>
      <c r="Y46" s="2" t="n">
        <v>2</v>
      </c>
      <c r="Z46" s="2" t="n">
        <v>176374</v>
      </c>
      <c r="AA46" s="2" t="n">
        <v>1</v>
      </c>
      <c r="AB46" s="2" t="s">
        <v>34</v>
      </c>
      <c r="AC46" s="2" t="s">
        <v>35</v>
      </c>
      <c r="AE46" s="2" t="s">
        <v>36</v>
      </c>
      <c r="AF46" s="2" t="n">
        <v>119.92133056139</v>
      </c>
      <c r="AG46" s="2" t="s">
        <v>37</v>
      </c>
    </row>
    <row r="47" customFormat="false" ht="15" hidden="false" customHeight="false" outlineLevel="0" collapsed="false">
      <c r="A47" s="2" t="n">
        <v>45</v>
      </c>
      <c r="B47" s="2" t="n">
        <v>0</v>
      </c>
      <c r="C47" s="2" t="n">
        <v>45</v>
      </c>
      <c r="D47" s="2" t="s">
        <v>33</v>
      </c>
      <c r="E47" s="2" t="n">
        <v>1</v>
      </c>
      <c r="F47" s="2" t="n">
        <v>0.632225199602544</v>
      </c>
      <c r="H47" s="2" t="n">
        <v>0</v>
      </c>
      <c r="I47" s="2" t="n">
        <v>45</v>
      </c>
      <c r="J47" s="2" t="n">
        <v>0</v>
      </c>
      <c r="K47" s="2" t="n">
        <v>45</v>
      </c>
      <c r="L47" s="2" t="n">
        <v>0</v>
      </c>
      <c r="M47" s="2" t="n">
        <v>77.3069530008361</v>
      </c>
      <c r="P47" s="2" t="n">
        <v>77.2997401002795</v>
      </c>
      <c r="Q47" s="2" t="n">
        <v>77.3069530008361</v>
      </c>
      <c r="R47" s="2" t="n">
        <v>78.299113300629</v>
      </c>
      <c r="S47" s="2" t="n">
        <v>78.299113300629</v>
      </c>
      <c r="T47" s="2" t="n">
        <v>78.9326008008793</v>
      </c>
      <c r="U47" s="2" t="s">
        <v>33</v>
      </c>
      <c r="V47" s="2" t="n">
        <v>1</v>
      </c>
      <c r="W47" s="2" t="n">
        <v>0.632225199602544</v>
      </c>
      <c r="Y47" s="2" t="n">
        <v>0</v>
      </c>
      <c r="Z47" s="2" t="n">
        <v>176374</v>
      </c>
      <c r="AA47" s="2" t="n">
        <v>1</v>
      </c>
      <c r="AB47" s="2" t="s">
        <v>34</v>
      </c>
      <c r="AC47" s="2" t="s">
        <v>35</v>
      </c>
      <c r="AE47" s="2" t="s">
        <v>36</v>
      </c>
      <c r="AF47" s="2" t="n">
        <v>119.92133056139</v>
      </c>
      <c r="AG47" s="2" t="s">
        <v>37</v>
      </c>
    </row>
    <row r="48" customFormat="false" ht="15" hidden="false" customHeight="false" outlineLevel="0" collapsed="false">
      <c r="A48" s="2" t="n">
        <v>46</v>
      </c>
      <c r="B48" s="2" t="n">
        <v>0</v>
      </c>
      <c r="C48" s="2" t="n">
        <v>46</v>
      </c>
      <c r="D48" s="2" t="s">
        <v>33</v>
      </c>
      <c r="E48" s="2" t="n">
        <v>0</v>
      </c>
      <c r="F48" s="2" t="n">
        <v>0.0882161008194089</v>
      </c>
      <c r="H48" s="2" t="n">
        <v>-4</v>
      </c>
      <c r="I48" s="2" t="n">
        <v>46</v>
      </c>
      <c r="J48" s="2" t="n">
        <v>0</v>
      </c>
      <c r="K48" s="2" t="n">
        <v>46</v>
      </c>
      <c r="L48" s="2" t="n">
        <v>0</v>
      </c>
      <c r="M48" s="2" t="n">
        <v>78.9402125002816</v>
      </c>
      <c r="P48" s="2" t="n">
        <v>78.9329710006714</v>
      </c>
      <c r="Q48" s="2" t="n">
        <v>78.9402125002816</v>
      </c>
      <c r="R48" s="2" t="n">
        <v>79.9316296000034</v>
      </c>
      <c r="S48" s="2" t="n">
        <v>79.9316296000034</v>
      </c>
      <c r="T48" s="2" t="n">
        <v>80.0245829001069</v>
      </c>
      <c r="U48" s="2" t="s">
        <v>33</v>
      </c>
      <c r="V48" s="2" t="n">
        <v>0</v>
      </c>
      <c r="W48" s="2" t="n">
        <v>0.0882161008194089</v>
      </c>
      <c r="Y48" s="2" t="n">
        <v>-4</v>
      </c>
      <c r="Z48" s="2" t="n">
        <v>176374</v>
      </c>
      <c r="AA48" s="2" t="n">
        <v>1</v>
      </c>
      <c r="AB48" s="2" t="s">
        <v>34</v>
      </c>
      <c r="AC48" s="2" t="s">
        <v>35</v>
      </c>
      <c r="AE48" s="2" t="s">
        <v>36</v>
      </c>
      <c r="AF48" s="2" t="n">
        <v>119.92133056139</v>
      </c>
      <c r="AG48" s="2" t="s">
        <v>37</v>
      </c>
    </row>
    <row r="49" customFormat="false" ht="15" hidden="false" customHeight="false" outlineLevel="0" collapsed="false">
      <c r="A49" s="2" t="n">
        <v>47</v>
      </c>
      <c r="B49" s="2" t="n">
        <v>0</v>
      </c>
      <c r="C49" s="2" t="n">
        <v>47</v>
      </c>
      <c r="D49" s="2" t="s">
        <v>33</v>
      </c>
      <c r="E49" s="2" t="n">
        <v>1</v>
      </c>
      <c r="F49" s="2" t="n">
        <v>0.557771800085902</v>
      </c>
      <c r="H49" s="2" t="n">
        <v>0</v>
      </c>
      <c r="I49" s="2" t="n">
        <v>47</v>
      </c>
      <c r="J49" s="2" t="n">
        <v>0</v>
      </c>
      <c r="K49" s="2" t="n">
        <v>47</v>
      </c>
      <c r="L49" s="2" t="n">
        <v>0</v>
      </c>
      <c r="M49" s="2" t="n">
        <v>80.031639800407</v>
      </c>
      <c r="P49" s="2" t="n">
        <v>80.0251134000719</v>
      </c>
      <c r="Q49" s="2" t="n">
        <v>80.031639800407</v>
      </c>
      <c r="R49" s="2" t="n">
        <v>81.0231886003166</v>
      </c>
      <c r="S49" s="2" t="n">
        <v>81.0231886003166</v>
      </c>
      <c r="T49" s="2" t="n">
        <v>81.5830137003213</v>
      </c>
      <c r="U49" s="2" t="s">
        <v>33</v>
      </c>
      <c r="V49" s="2" t="n">
        <v>1</v>
      </c>
      <c r="W49" s="2" t="n">
        <v>0.557771800085902</v>
      </c>
      <c r="Y49" s="2" t="n">
        <v>0</v>
      </c>
      <c r="Z49" s="2" t="n">
        <v>176374</v>
      </c>
      <c r="AA49" s="2" t="n">
        <v>1</v>
      </c>
      <c r="AB49" s="2" t="s">
        <v>34</v>
      </c>
      <c r="AC49" s="2" t="s">
        <v>35</v>
      </c>
      <c r="AE49" s="2" t="s">
        <v>36</v>
      </c>
      <c r="AF49" s="2" t="n">
        <v>119.92133056139</v>
      </c>
      <c r="AG49" s="2" t="s">
        <v>37</v>
      </c>
    </row>
    <row r="50" customFormat="false" ht="15" hidden="false" customHeight="false" outlineLevel="0" collapsed="false">
      <c r="A50" s="2" t="n">
        <v>48</v>
      </c>
      <c r="B50" s="2" t="n">
        <v>0</v>
      </c>
      <c r="C50" s="2" t="n">
        <v>48</v>
      </c>
      <c r="D50" s="2" t="s">
        <v>33</v>
      </c>
      <c r="E50" s="2" t="n">
        <v>0</v>
      </c>
      <c r="F50" s="2" t="n">
        <v>0.577907599508762</v>
      </c>
      <c r="H50" s="2" t="n">
        <v>2</v>
      </c>
      <c r="I50" s="2" t="n">
        <v>48</v>
      </c>
      <c r="J50" s="2" t="n">
        <v>0</v>
      </c>
      <c r="K50" s="2" t="n">
        <v>48</v>
      </c>
      <c r="L50" s="2" t="n">
        <v>0</v>
      </c>
      <c r="M50" s="2" t="n">
        <v>81.5896062003449</v>
      </c>
      <c r="P50" s="2" t="n">
        <v>81.5835041003302</v>
      </c>
      <c r="Q50" s="2" t="n">
        <v>81.5896062003449</v>
      </c>
      <c r="R50" s="2" t="n">
        <v>82.5814002007246</v>
      </c>
      <c r="S50" s="2" t="n">
        <v>82.5814002007246</v>
      </c>
      <c r="T50" s="2" t="n">
        <v>83.1659414004535</v>
      </c>
      <c r="U50" s="2" t="s">
        <v>33</v>
      </c>
      <c r="V50" s="2" t="n">
        <v>0</v>
      </c>
      <c r="W50" s="2" t="n">
        <v>0.577907599508762</v>
      </c>
      <c r="Y50" s="2" t="n">
        <v>2</v>
      </c>
      <c r="Z50" s="2" t="n">
        <v>176374</v>
      </c>
      <c r="AA50" s="2" t="n">
        <v>1</v>
      </c>
      <c r="AB50" s="2" t="s">
        <v>34</v>
      </c>
      <c r="AC50" s="2" t="s">
        <v>35</v>
      </c>
      <c r="AE50" s="2" t="s">
        <v>36</v>
      </c>
      <c r="AF50" s="2" t="n">
        <v>119.92133056139</v>
      </c>
      <c r="AG50" s="2" t="s">
        <v>37</v>
      </c>
    </row>
    <row r="51" customFormat="false" ht="15" hidden="false" customHeight="false" outlineLevel="0" collapsed="false">
      <c r="A51" s="2" t="n">
        <v>49</v>
      </c>
      <c r="B51" s="2" t="n">
        <v>0</v>
      </c>
      <c r="C51" s="2" t="n">
        <v>49</v>
      </c>
      <c r="D51" s="2" t="s">
        <v>33</v>
      </c>
      <c r="E51" s="2" t="n">
        <v>1</v>
      </c>
      <c r="F51" s="2" t="n">
        <v>0.573590500280261</v>
      </c>
      <c r="H51" s="2" t="n">
        <v>0</v>
      </c>
      <c r="I51" s="2" t="n">
        <v>49</v>
      </c>
      <c r="J51" s="2" t="n">
        <v>0</v>
      </c>
      <c r="K51" s="2" t="n">
        <v>49</v>
      </c>
      <c r="L51" s="2" t="n">
        <v>0</v>
      </c>
      <c r="M51" s="2" t="n">
        <v>83.1728572007269</v>
      </c>
      <c r="P51" s="2" t="n">
        <v>83.1664105001837</v>
      </c>
      <c r="Q51" s="2" t="n">
        <v>83.1728572007269</v>
      </c>
      <c r="R51" s="2" t="n">
        <v>84.1567248003557</v>
      </c>
      <c r="S51" s="2" t="n">
        <v>84.1654263008386</v>
      </c>
      <c r="T51" s="2" t="n">
        <v>84.732753300108</v>
      </c>
      <c r="U51" s="2" t="s">
        <v>33</v>
      </c>
      <c r="V51" s="2" t="n">
        <v>1</v>
      </c>
      <c r="W51" s="2" t="n">
        <v>0.573590500280261</v>
      </c>
      <c r="Y51" s="2" t="n">
        <v>0</v>
      </c>
      <c r="Z51" s="2" t="n">
        <v>176374</v>
      </c>
      <c r="AA51" s="2" t="n">
        <v>1</v>
      </c>
      <c r="AB51" s="2" t="s">
        <v>34</v>
      </c>
      <c r="AC51" s="2" t="s">
        <v>35</v>
      </c>
      <c r="AE51" s="2" t="s">
        <v>36</v>
      </c>
      <c r="AF51" s="2" t="n">
        <v>119.92133056139</v>
      </c>
      <c r="AG51" s="2" t="s">
        <v>37</v>
      </c>
    </row>
    <row r="52" customFormat="false" ht="15" hidden="false" customHeight="false" outlineLevel="0" collapsed="false">
      <c r="A52" s="2" t="n">
        <v>50</v>
      </c>
      <c r="B52" s="2" t="n">
        <v>0</v>
      </c>
      <c r="C52" s="2" t="n">
        <v>50</v>
      </c>
      <c r="D52" s="2" t="s">
        <v>33</v>
      </c>
      <c r="E52" s="2" t="n">
        <v>1</v>
      </c>
      <c r="F52" s="2" t="n">
        <v>0.410901700146496</v>
      </c>
      <c r="H52" s="2" t="n">
        <v>0</v>
      </c>
      <c r="I52" s="2" t="n">
        <v>50</v>
      </c>
      <c r="J52" s="2" t="n">
        <v>0</v>
      </c>
      <c r="K52" s="2" t="n">
        <v>50</v>
      </c>
      <c r="L52" s="2" t="n">
        <v>0</v>
      </c>
      <c r="M52" s="2" t="n">
        <v>84.739815200679</v>
      </c>
      <c r="P52" s="2" t="n">
        <v>84.7333112005144</v>
      </c>
      <c r="Q52" s="2" t="n">
        <v>84.739815200679</v>
      </c>
      <c r="R52" s="2" t="n">
        <v>85.7315456001088</v>
      </c>
      <c r="S52" s="2" t="n">
        <v>85.7315456001088</v>
      </c>
      <c r="T52" s="2" t="n">
        <v>86.149770100601</v>
      </c>
      <c r="U52" s="2" t="s">
        <v>33</v>
      </c>
      <c r="V52" s="2" t="n">
        <v>1</v>
      </c>
      <c r="W52" s="2" t="n">
        <v>0.410901700146496</v>
      </c>
      <c r="Y52" s="2" t="n">
        <v>0</v>
      </c>
      <c r="Z52" s="2" t="n">
        <v>176374</v>
      </c>
      <c r="AA52" s="2" t="n">
        <v>1</v>
      </c>
      <c r="AB52" s="2" t="s">
        <v>34</v>
      </c>
      <c r="AC52" s="2" t="s">
        <v>35</v>
      </c>
      <c r="AE52" s="2" t="s">
        <v>36</v>
      </c>
      <c r="AF52" s="2" t="n">
        <v>119.92133056139</v>
      </c>
      <c r="AG52" s="2" t="s">
        <v>37</v>
      </c>
    </row>
    <row r="53" customFormat="false" ht="15" hidden="false" customHeight="false" outlineLevel="0" collapsed="false">
      <c r="A53" s="2" t="n">
        <v>51</v>
      </c>
      <c r="B53" s="2" t="n">
        <v>0</v>
      </c>
      <c r="C53" s="2" t="n">
        <v>51</v>
      </c>
      <c r="D53" s="2" t="s">
        <v>33</v>
      </c>
      <c r="E53" s="2" t="n">
        <v>1</v>
      </c>
      <c r="F53" s="2" t="n">
        <v>0.3632507994771</v>
      </c>
      <c r="H53" s="2" t="n">
        <v>0</v>
      </c>
      <c r="I53" s="2" t="n">
        <v>51</v>
      </c>
      <c r="J53" s="2" t="n">
        <v>0</v>
      </c>
      <c r="K53" s="2" t="n">
        <v>51</v>
      </c>
      <c r="L53" s="2" t="n">
        <v>0</v>
      </c>
      <c r="M53" s="2" t="n">
        <v>86.1565354000777</v>
      </c>
      <c r="P53" s="2" t="n">
        <v>86.1503297006711</v>
      </c>
      <c r="Q53" s="2" t="n">
        <v>86.1565354000777</v>
      </c>
      <c r="R53" s="2" t="n">
        <v>87.1486316006631</v>
      </c>
      <c r="S53" s="2" t="n">
        <v>87.1486316006631</v>
      </c>
      <c r="T53" s="2" t="n">
        <v>87.5156890004873</v>
      </c>
      <c r="U53" s="2" t="s">
        <v>33</v>
      </c>
      <c r="V53" s="2" t="n">
        <v>1</v>
      </c>
      <c r="W53" s="2" t="n">
        <v>0.3632507994771</v>
      </c>
      <c r="Y53" s="2" t="n">
        <v>0</v>
      </c>
      <c r="Z53" s="2" t="n">
        <v>176374</v>
      </c>
      <c r="AA53" s="2" t="n">
        <v>1</v>
      </c>
      <c r="AB53" s="2" t="s">
        <v>34</v>
      </c>
      <c r="AC53" s="2" t="s">
        <v>35</v>
      </c>
      <c r="AE53" s="2" t="s">
        <v>36</v>
      </c>
      <c r="AF53" s="2" t="n">
        <v>119.92133056139</v>
      </c>
      <c r="AG53" s="2" t="s">
        <v>37</v>
      </c>
    </row>
    <row r="54" customFormat="false" ht="15" hidden="false" customHeight="false" outlineLevel="0" collapsed="false">
      <c r="A54" s="2" t="n">
        <v>52</v>
      </c>
      <c r="B54" s="2" t="n">
        <v>0</v>
      </c>
      <c r="C54" s="2" t="n">
        <v>52</v>
      </c>
      <c r="D54" s="2" t="s">
        <v>33</v>
      </c>
      <c r="E54" s="2" t="n">
        <v>0</v>
      </c>
      <c r="F54" s="2" t="n">
        <v>0.391215700656176</v>
      </c>
      <c r="H54" s="2" t="n">
        <v>-3</v>
      </c>
      <c r="I54" s="2" t="n">
        <v>52</v>
      </c>
      <c r="J54" s="2" t="n">
        <v>0</v>
      </c>
      <c r="K54" s="2" t="n">
        <v>52</v>
      </c>
      <c r="L54" s="2" t="n">
        <v>0</v>
      </c>
      <c r="M54" s="2" t="n">
        <v>87.5227633006871</v>
      </c>
      <c r="P54" s="2" t="n">
        <v>87.5161370001733</v>
      </c>
      <c r="Q54" s="2" t="n">
        <v>87.5227633006871</v>
      </c>
      <c r="R54" s="2" t="n">
        <v>88.5145449005067</v>
      </c>
      <c r="S54" s="2" t="n">
        <v>88.5145449005067</v>
      </c>
      <c r="T54" s="2" t="n">
        <v>88.9071642002091</v>
      </c>
      <c r="U54" s="2" t="s">
        <v>33</v>
      </c>
      <c r="V54" s="2" t="n">
        <v>0</v>
      </c>
      <c r="W54" s="2" t="n">
        <v>0.391215700656176</v>
      </c>
      <c r="Y54" s="2" t="n">
        <v>-3</v>
      </c>
      <c r="Z54" s="2" t="n">
        <v>176374</v>
      </c>
      <c r="AA54" s="2" t="n">
        <v>1</v>
      </c>
      <c r="AB54" s="2" t="s">
        <v>34</v>
      </c>
      <c r="AC54" s="2" t="s">
        <v>35</v>
      </c>
      <c r="AE54" s="2" t="s">
        <v>36</v>
      </c>
      <c r="AF54" s="2" t="n">
        <v>119.92133056139</v>
      </c>
      <c r="AG54" s="2" t="s">
        <v>37</v>
      </c>
    </row>
    <row r="55" customFormat="false" ht="15" hidden="false" customHeight="false" outlineLevel="0" collapsed="false">
      <c r="A55" s="2" t="n">
        <v>53</v>
      </c>
      <c r="B55" s="2" t="n">
        <v>0</v>
      </c>
      <c r="C55" s="2" t="n">
        <v>53</v>
      </c>
      <c r="D55" s="2" t="s">
        <v>33</v>
      </c>
      <c r="E55" s="2" t="n">
        <v>1</v>
      </c>
      <c r="F55" s="2" t="n">
        <v>0.427605199627578</v>
      </c>
      <c r="H55" s="2" t="n">
        <v>0</v>
      </c>
      <c r="I55" s="2" t="n">
        <v>53</v>
      </c>
      <c r="J55" s="2" t="n">
        <v>0</v>
      </c>
      <c r="K55" s="2" t="n">
        <v>53</v>
      </c>
      <c r="L55" s="2" t="n">
        <v>0</v>
      </c>
      <c r="M55" s="2" t="n">
        <v>88.9143914002925</v>
      </c>
      <c r="P55" s="2" t="n">
        <v>88.9076439002529</v>
      </c>
      <c r="Q55" s="2" t="n">
        <v>88.9143914002925</v>
      </c>
      <c r="R55" s="2" t="n">
        <v>89.898092600517</v>
      </c>
      <c r="S55" s="2" t="n">
        <v>89.9063935000449</v>
      </c>
      <c r="T55" s="2" t="n">
        <v>90.3324522003532</v>
      </c>
      <c r="U55" s="2" t="s">
        <v>33</v>
      </c>
      <c r="V55" s="2" t="n">
        <v>1</v>
      </c>
      <c r="W55" s="2" t="n">
        <v>0.427605199627578</v>
      </c>
      <c r="Y55" s="2" t="n">
        <v>0</v>
      </c>
      <c r="Z55" s="2" t="n">
        <v>176374</v>
      </c>
      <c r="AA55" s="2" t="n">
        <v>1</v>
      </c>
      <c r="AB55" s="2" t="s">
        <v>34</v>
      </c>
      <c r="AC55" s="2" t="s">
        <v>35</v>
      </c>
      <c r="AE55" s="2" t="s">
        <v>36</v>
      </c>
      <c r="AF55" s="2" t="n">
        <v>119.92133056139</v>
      </c>
      <c r="AG55" s="2" t="s">
        <v>37</v>
      </c>
    </row>
    <row r="56" customFormat="false" ht="15" hidden="false" customHeight="false" outlineLevel="0" collapsed="false">
      <c r="A56" s="2" t="n">
        <v>54</v>
      </c>
      <c r="B56" s="2" t="n">
        <v>0</v>
      </c>
      <c r="C56" s="2" t="n">
        <v>54</v>
      </c>
      <c r="D56" s="2" t="s">
        <v>33</v>
      </c>
      <c r="E56" s="2" t="n">
        <v>1</v>
      </c>
      <c r="F56" s="2" t="n">
        <v>0.528172700665891</v>
      </c>
      <c r="H56" s="2" t="n">
        <v>0</v>
      </c>
      <c r="I56" s="2" t="n">
        <v>54</v>
      </c>
      <c r="J56" s="2" t="n">
        <v>0</v>
      </c>
      <c r="K56" s="2" t="n">
        <v>54</v>
      </c>
      <c r="L56" s="2" t="n">
        <v>0</v>
      </c>
      <c r="M56" s="2" t="n">
        <v>90.3397312005982</v>
      </c>
      <c r="P56" s="2" t="n">
        <v>90.3329710001126</v>
      </c>
      <c r="Q56" s="2" t="n">
        <v>90.3397312005982</v>
      </c>
      <c r="R56" s="2" t="n">
        <v>91.3318175002932</v>
      </c>
      <c r="S56" s="2" t="n">
        <v>91.3318175002932</v>
      </c>
      <c r="T56" s="2" t="n">
        <v>91.8651564000174</v>
      </c>
      <c r="U56" s="2" t="s">
        <v>33</v>
      </c>
      <c r="V56" s="2" t="n">
        <v>1</v>
      </c>
      <c r="W56" s="2" t="n">
        <v>0.528172700665891</v>
      </c>
      <c r="Y56" s="2" t="n">
        <v>0</v>
      </c>
      <c r="Z56" s="2" t="n">
        <v>176374</v>
      </c>
      <c r="AA56" s="2" t="n">
        <v>1</v>
      </c>
      <c r="AB56" s="2" t="s">
        <v>34</v>
      </c>
      <c r="AC56" s="2" t="s">
        <v>35</v>
      </c>
      <c r="AE56" s="2" t="s">
        <v>36</v>
      </c>
      <c r="AF56" s="2" t="n">
        <v>119.92133056139</v>
      </c>
      <c r="AG56" s="2" t="s">
        <v>37</v>
      </c>
    </row>
    <row r="57" customFormat="false" ht="15" hidden="false" customHeight="false" outlineLevel="0" collapsed="false">
      <c r="A57" s="2" t="n">
        <v>55</v>
      </c>
      <c r="B57" s="2" t="n">
        <v>0</v>
      </c>
      <c r="C57" s="2" t="n">
        <v>55</v>
      </c>
      <c r="D57" s="2" t="s">
        <v>33</v>
      </c>
      <c r="E57" s="2" t="n">
        <v>0</v>
      </c>
      <c r="F57" s="2" t="n">
        <v>0.385900000110269</v>
      </c>
      <c r="H57" s="2" t="n">
        <v>4</v>
      </c>
      <c r="I57" s="2" t="n">
        <v>55</v>
      </c>
      <c r="J57" s="2" t="n">
        <v>0</v>
      </c>
      <c r="K57" s="2" t="n">
        <v>55</v>
      </c>
      <c r="L57" s="2" t="n">
        <v>0</v>
      </c>
      <c r="M57" s="2" t="n">
        <v>91.8727784007788</v>
      </c>
      <c r="P57" s="2" t="n">
        <v>91.8657526001334</v>
      </c>
      <c r="Q57" s="2" t="n">
        <v>91.8727784007788</v>
      </c>
      <c r="R57" s="2" t="n">
        <v>92.8562346007675</v>
      </c>
      <c r="S57" s="2" t="n">
        <v>92.8642953000963</v>
      </c>
      <c r="T57" s="2" t="n">
        <v>93.2483021002263</v>
      </c>
      <c r="U57" s="2" t="s">
        <v>33</v>
      </c>
      <c r="V57" s="2" t="n">
        <v>0</v>
      </c>
      <c r="W57" s="2" t="n">
        <v>0.385900000110269</v>
      </c>
      <c r="Y57" s="2" t="n">
        <v>4</v>
      </c>
      <c r="Z57" s="2" t="n">
        <v>176374</v>
      </c>
      <c r="AA57" s="2" t="n">
        <v>1</v>
      </c>
      <c r="AB57" s="2" t="s">
        <v>34</v>
      </c>
      <c r="AC57" s="2" t="s">
        <v>35</v>
      </c>
      <c r="AE57" s="2" t="s">
        <v>36</v>
      </c>
      <c r="AF57" s="2" t="n">
        <v>119.92133056139</v>
      </c>
      <c r="AG57" s="2" t="s">
        <v>37</v>
      </c>
    </row>
    <row r="58" customFormat="false" ht="15" hidden="false" customHeight="false" outlineLevel="0" collapsed="false">
      <c r="A58" s="2" t="n">
        <v>56</v>
      </c>
      <c r="B58" s="2" t="n">
        <v>0</v>
      </c>
      <c r="C58" s="2" t="n">
        <v>56</v>
      </c>
      <c r="D58" s="2" t="s">
        <v>33</v>
      </c>
      <c r="E58" s="2" t="n">
        <v>1</v>
      </c>
      <c r="F58" s="2" t="n">
        <v>0.63826070073992</v>
      </c>
      <c r="H58" s="2" t="n">
        <v>0</v>
      </c>
      <c r="I58" s="2" t="n">
        <v>56</v>
      </c>
      <c r="J58" s="2" t="n">
        <v>0</v>
      </c>
      <c r="K58" s="2" t="n">
        <v>56</v>
      </c>
      <c r="L58" s="2" t="n">
        <v>0</v>
      </c>
      <c r="M58" s="2" t="n">
        <v>93.2560439007357</v>
      </c>
      <c r="P58" s="2" t="n">
        <v>93.2488026004285</v>
      </c>
      <c r="Q58" s="2" t="n">
        <v>93.2560439007357</v>
      </c>
      <c r="R58" s="2" t="n">
        <v>94.2393536008894</v>
      </c>
      <c r="S58" s="2" t="n">
        <v>94.2484600003809</v>
      </c>
      <c r="T58" s="2" t="n">
        <v>94.8816915005446</v>
      </c>
      <c r="U58" s="2" t="s">
        <v>33</v>
      </c>
      <c r="V58" s="2" t="n">
        <v>1</v>
      </c>
      <c r="W58" s="2" t="n">
        <v>0.63826070073992</v>
      </c>
      <c r="Y58" s="2" t="n">
        <v>0</v>
      </c>
      <c r="Z58" s="2" t="n">
        <v>176374</v>
      </c>
      <c r="AA58" s="2" t="n">
        <v>1</v>
      </c>
      <c r="AB58" s="2" t="s">
        <v>34</v>
      </c>
      <c r="AC58" s="2" t="s">
        <v>35</v>
      </c>
      <c r="AE58" s="2" t="s">
        <v>36</v>
      </c>
      <c r="AF58" s="2" t="n">
        <v>119.92133056139</v>
      </c>
      <c r="AG58" s="2" t="s">
        <v>37</v>
      </c>
    </row>
    <row r="59" customFormat="false" ht="15" hidden="false" customHeight="false" outlineLevel="0" collapsed="false">
      <c r="A59" s="2" t="n">
        <v>57</v>
      </c>
      <c r="B59" s="2" t="n">
        <v>0</v>
      </c>
      <c r="C59" s="2" t="n">
        <v>57</v>
      </c>
      <c r="D59" s="2" t="s">
        <v>33</v>
      </c>
      <c r="E59" s="2" t="n">
        <v>1</v>
      </c>
      <c r="F59" s="2" t="n">
        <v>3.63620099984109</v>
      </c>
      <c r="H59" s="2" t="n">
        <v>0</v>
      </c>
      <c r="I59" s="2" t="n">
        <v>57</v>
      </c>
      <c r="J59" s="2" t="n">
        <v>0</v>
      </c>
      <c r="K59" s="2" t="n">
        <v>57</v>
      </c>
      <c r="L59" s="2" t="n">
        <v>0</v>
      </c>
      <c r="M59" s="2" t="n">
        <v>94.8895594002679</v>
      </c>
      <c r="P59" s="2" t="n">
        <v>94.8822845006362</v>
      </c>
      <c r="Q59" s="2" t="n">
        <v>94.8895594002679</v>
      </c>
      <c r="R59" s="2" t="n">
        <v>95.872839900665</v>
      </c>
      <c r="S59" s="2" t="n">
        <v>95.881754600443</v>
      </c>
      <c r="T59" s="2" t="n">
        <v>99.5155341001228</v>
      </c>
      <c r="U59" s="2" t="s">
        <v>33</v>
      </c>
      <c r="V59" s="2" t="n">
        <v>1</v>
      </c>
      <c r="W59" s="2" t="n">
        <v>3.63620099984109</v>
      </c>
      <c r="Y59" s="2" t="n">
        <v>0</v>
      </c>
      <c r="Z59" s="2" t="n">
        <v>176374</v>
      </c>
      <c r="AA59" s="2" t="n">
        <v>1</v>
      </c>
      <c r="AB59" s="2" t="s">
        <v>34</v>
      </c>
      <c r="AC59" s="2" t="s">
        <v>35</v>
      </c>
      <c r="AE59" s="2" t="s">
        <v>36</v>
      </c>
      <c r="AF59" s="2" t="n">
        <v>119.92133056139</v>
      </c>
      <c r="AG59" s="2" t="s">
        <v>37</v>
      </c>
    </row>
    <row r="60" customFormat="false" ht="15" hidden="false" customHeight="false" outlineLevel="0" collapsed="false">
      <c r="A60" s="2" t="n">
        <v>58</v>
      </c>
      <c r="B60" s="2" t="n">
        <v>0</v>
      </c>
      <c r="C60" s="2" t="n">
        <v>58</v>
      </c>
      <c r="D60" s="2" t="s">
        <v>33</v>
      </c>
      <c r="E60" s="2" t="n">
        <v>0</v>
      </c>
      <c r="F60" s="2" t="n">
        <v>0.803110300563276</v>
      </c>
      <c r="H60" s="2" t="n">
        <v>0</v>
      </c>
      <c r="I60" s="2" t="n">
        <v>58</v>
      </c>
      <c r="J60" s="2" t="n">
        <v>0</v>
      </c>
      <c r="K60" s="2" t="n">
        <v>58</v>
      </c>
      <c r="L60" s="2" t="n">
        <v>0</v>
      </c>
      <c r="M60" s="2" t="n">
        <v>99.5230883006006</v>
      </c>
      <c r="P60" s="2" t="n">
        <v>99.5161685002968</v>
      </c>
      <c r="Q60" s="2" t="n">
        <v>99.5230883006006</v>
      </c>
      <c r="R60" s="2" t="n">
        <v>100.506568400189</v>
      </c>
      <c r="S60" s="2" t="n">
        <v>100.514675200917</v>
      </c>
      <c r="T60" s="2" t="n">
        <v>101.314974200912</v>
      </c>
      <c r="U60" s="2" t="s">
        <v>33</v>
      </c>
      <c r="V60" s="2" t="n">
        <v>0</v>
      </c>
      <c r="W60" s="2" t="n">
        <v>0.803110300563276</v>
      </c>
      <c r="Y60" s="2" t="n">
        <v>0</v>
      </c>
      <c r="Z60" s="2" t="n">
        <v>176374</v>
      </c>
      <c r="AA60" s="2" t="n">
        <v>1</v>
      </c>
      <c r="AB60" s="2" t="s">
        <v>34</v>
      </c>
      <c r="AC60" s="2" t="s">
        <v>35</v>
      </c>
      <c r="AE60" s="2" t="s">
        <v>36</v>
      </c>
      <c r="AF60" s="2" t="n">
        <v>119.92133056139</v>
      </c>
      <c r="AG60" s="2" t="s">
        <v>37</v>
      </c>
    </row>
    <row r="61" customFormat="false" ht="15" hidden="false" customHeight="false" outlineLevel="0" collapsed="false">
      <c r="A61" s="2" t="n">
        <v>59</v>
      </c>
      <c r="B61" s="2" t="n">
        <v>0</v>
      </c>
      <c r="C61" s="2" t="n">
        <v>59</v>
      </c>
      <c r="D61" s="2" t="s">
        <v>33</v>
      </c>
      <c r="E61" s="2" t="n">
        <v>0</v>
      </c>
      <c r="F61" s="2" t="n">
        <v>0.435689299367368</v>
      </c>
      <c r="H61" s="2" t="n">
        <v>-2</v>
      </c>
      <c r="I61" s="2" t="n">
        <v>59</v>
      </c>
      <c r="J61" s="2" t="n">
        <v>0</v>
      </c>
      <c r="K61" s="2" t="n">
        <v>59</v>
      </c>
      <c r="L61" s="2" t="n">
        <v>0</v>
      </c>
      <c r="M61" s="2" t="n">
        <v>101.322452300228</v>
      </c>
      <c r="P61" s="2" t="n">
        <v>101.3155536009</v>
      </c>
      <c r="Q61" s="2" t="n">
        <v>101.322452300228</v>
      </c>
      <c r="R61" s="2" t="n">
        <v>102.306306500919</v>
      </c>
      <c r="S61" s="2" t="n">
        <v>102.314575100318</v>
      </c>
      <c r="T61" s="2" t="n">
        <v>102.748800300062</v>
      </c>
      <c r="U61" s="2" t="s">
        <v>33</v>
      </c>
      <c r="V61" s="2" t="n">
        <v>0</v>
      </c>
      <c r="W61" s="2" t="n">
        <v>0.435689299367368</v>
      </c>
      <c r="Y61" s="2" t="n">
        <v>-2</v>
      </c>
      <c r="Z61" s="2" t="n">
        <v>176374</v>
      </c>
      <c r="AA61" s="2" t="n">
        <v>1</v>
      </c>
      <c r="AB61" s="2" t="s">
        <v>34</v>
      </c>
      <c r="AC61" s="2" t="s">
        <v>35</v>
      </c>
      <c r="AE61" s="2" t="s">
        <v>36</v>
      </c>
      <c r="AF61" s="2" t="n">
        <v>119.92133056139</v>
      </c>
      <c r="AG61" s="2" t="s">
        <v>37</v>
      </c>
    </row>
    <row r="62" customFormat="false" ht="15" hidden="false" customHeight="false" outlineLevel="0" collapsed="false">
      <c r="A62" s="2" t="n">
        <v>60</v>
      </c>
      <c r="B62" s="2" t="n">
        <v>0</v>
      </c>
      <c r="C62" s="2" t="n">
        <v>60</v>
      </c>
      <c r="D62" s="2" t="s">
        <v>33</v>
      </c>
      <c r="E62" s="2" t="n">
        <v>1</v>
      </c>
      <c r="F62" s="2" t="n">
        <v>0.561518900096417</v>
      </c>
      <c r="H62" s="2" t="n">
        <v>0</v>
      </c>
      <c r="I62" s="2" t="n">
        <v>60</v>
      </c>
      <c r="J62" s="2" t="n">
        <v>0</v>
      </c>
      <c r="K62" s="2" t="n">
        <v>60</v>
      </c>
      <c r="L62" s="2" t="n">
        <v>0</v>
      </c>
      <c r="M62" s="2" t="n">
        <v>102.755731000565</v>
      </c>
      <c r="P62" s="2" t="n">
        <v>102.74932000041</v>
      </c>
      <c r="Q62" s="2" t="n">
        <v>102.755731000565</v>
      </c>
      <c r="R62" s="2" t="n">
        <v>103.739305700176</v>
      </c>
      <c r="S62" s="2" t="n">
        <v>103.748040000908</v>
      </c>
      <c r="T62" s="2" t="n">
        <v>104.306993300095</v>
      </c>
      <c r="U62" s="2" t="s">
        <v>33</v>
      </c>
      <c r="V62" s="2" t="n">
        <v>1</v>
      </c>
      <c r="W62" s="2" t="n">
        <v>0.561518900096417</v>
      </c>
      <c r="Y62" s="2" t="n">
        <v>0</v>
      </c>
      <c r="Z62" s="2" t="n">
        <v>176374</v>
      </c>
      <c r="AA62" s="2" t="n">
        <v>1</v>
      </c>
      <c r="AB62" s="2" t="s">
        <v>34</v>
      </c>
      <c r="AC62" s="2" t="s">
        <v>35</v>
      </c>
      <c r="AE62" s="2" t="s">
        <v>36</v>
      </c>
      <c r="AF62" s="2" t="n">
        <v>119.92133056139</v>
      </c>
      <c r="AG62" s="2" t="s">
        <v>37</v>
      </c>
    </row>
    <row r="63" customFormat="false" ht="15" hidden="false" customHeight="false" outlineLevel="0" collapsed="false">
      <c r="A63" s="2" t="n">
        <v>61</v>
      </c>
      <c r="B63" s="2" t="n">
        <v>0</v>
      </c>
      <c r="C63" s="2" t="n">
        <v>61</v>
      </c>
      <c r="D63" s="2" t="s">
        <v>33</v>
      </c>
      <c r="E63" s="2" t="n">
        <v>1</v>
      </c>
      <c r="F63" s="2" t="n">
        <v>0.504641800187528</v>
      </c>
      <c r="H63" s="2" t="n">
        <v>0</v>
      </c>
      <c r="I63" s="2" t="n">
        <v>61</v>
      </c>
      <c r="J63" s="2" t="n">
        <v>0</v>
      </c>
      <c r="K63" s="2" t="n">
        <v>61</v>
      </c>
      <c r="L63" s="2" t="n">
        <v>0</v>
      </c>
      <c r="M63" s="2" t="n">
        <v>104.313941200264</v>
      </c>
      <c r="P63" s="2" t="n">
        <v>104.307246100158</v>
      </c>
      <c r="Q63" s="2" t="n">
        <v>104.313941200264</v>
      </c>
      <c r="R63" s="2" t="n">
        <v>105.30652490072</v>
      </c>
      <c r="S63" s="2" t="n">
        <v>105.30652490072</v>
      </c>
      <c r="T63" s="2" t="n">
        <v>105.815187600441</v>
      </c>
      <c r="U63" s="2" t="s">
        <v>33</v>
      </c>
      <c r="V63" s="2" t="n">
        <v>1</v>
      </c>
      <c r="W63" s="2" t="n">
        <v>0.504641800187528</v>
      </c>
      <c r="Y63" s="2" t="n">
        <v>0</v>
      </c>
      <c r="Z63" s="2" t="n">
        <v>176374</v>
      </c>
      <c r="AA63" s="2" t="n">
        <v>1</v>
      </c>
      <c r="AB63" s="2" t="s">
        <v>34</v>
      </c>
      <c r="AC63" s="2" t="s">
        <v>35</v>
      </c>
      <c r="AE63" s="2" t="s">
        <v>36</v>
      </c>
      <c r="AF63" s="2" t="n">
        <v>119.92133056139</v>
      </c>
      <c r="AG63" s="2" t="s">
        <v>37</v>
      </c>
    </row>
    <row r="64" customFormat="false" ht="15" hidden="false" customHeight="false" outlineLevel="0" collapsed="false">
      <c r="A64" s="2" t="n">
        <v>62</v>
      </c>
      <c r="B64" s="2" t="n">
        <v>0</v>
      </c>
      <c r="C64" s="2" t="n">
        <v>62</v>
      </c>
      <c r="D64" s="2" t="s">
        <v>33</v>
      </c>
      <c r="E64" s="2" t="n">
        <v>1</v>
      </c>
      <c r="F64" s="2" t="n">
        <v>0.512204499915242</v>
      </c>
      <c r="H64" s="2" t="n">
        <v>0</v>
      </c>
      <c r="I64" s="2" t="n">
        <v>62</v>
      </c>
      <c r="J64" s="2" t="n">
        <v>0</v>
      </c>
      <c r="K64" s="2" t="n">
        <v>62</v>
      </c>
      <c r="L64" s="2" t="n">
        <v>0</v>
      </c>
      <c r="M64" s="2" t="n">
        <v>105.822139300406</v>
      </c>
      <c r="P64" s="2" t="n">
        <v>105.815712300129</v>
      </c>
      <c r="Q64" s="2" t="n">
        <v>105.822139300406</v>
      </c>
      <c r="R64" s="2" t="n">
        <v>106.806108900346</v>
      </c>
      <c r="S64" s="2" t="n">
        <v>106.814230600372</v>
      </c>
      <c r="T64" s="2" t="n">
        <v>107.323093900457</v>
      </c>
      <c r="U64" s="2" t="s">
        <v>33</v>
      </c>
      <c r="V64" s="2" t="n">
        <v>1</v>
      </c>
      <c r="W64" s="2" t="n">
        <v>0.512204499915242</v>
      </c>
      <c r="Y64" s="2" t="n">
        <v>0</v>
      </c>
      <c r="Z64" s="2" t="n">
        <v>176374</v>
      </c>
      <c r="AA64" s="2" t="n">
        <v>1</v>
      </c>
      <c r="AB64" s="2" t="s">
        <v>34</v>
      </c>
      <c r="AC64" s="2" t="s">
        <v>35</v>
      </c>
      <c r="AE64" s="2" t="s">
        <v>36</v>
      </c>
      <c r="AF64" s="2" t="n">
        <v>119.92133056139</v>
      </c>
      <c r="AG64" s="2" t="s">
        <v>37</v>
      </c>
    </row>
    <row r="65" customFormat="false" ht="15" hidden="false" customHeight="false" outlineLevel="0" collapsed="false">
      <c r="A65" s="2" t="n">
        <v>63</v>
      </c>
      <c r="B65" s="2" t="n">
        <v>0</v>
      </c>
      <c r="C65" s="2" t="n">
        <v>63</v>
      </c>
      <c r="D65" s="2" t="s">
        <v>38</v>
      </c>
      <c r="E65" s="2" t="n">
        <v>1</v>
      </c>
      <c r="F65" s="2" t="n">
        <v>0.50171360000968</v>
      </c>
      <c r="H65" s="2" t="n">
        <v>-4</v>
      </c>
      <c r="I65" s="2" t="n">
        <v>63</v>
      </c>
      <c r="J65" s="2" t="n">
        <v>0</v>
      </c>
      <c r="K65" s="2" t="n">
        <v>63</v>
      </c>
      <c r="L65" s="2" t="n">
        <v>0</v>
      </c>
      <c r="M65" s="2" t="n">
        <v>107.330688600428</v>
      </c>
      <c r="P65" s="2" t="n">
        <v>107.323477400467</v>
      </c>
      <c r="Q65" s="2" t="n">
        <v>107.330688600428</v>
      </c>
      <c r="R65" s="2" t="n">
        <v>108.313993000425</v>
      </c>
      <c r="S65" s="2" t="n">
        <v>108.322264300659</v>
      </c>
      <c r="T65" s="2" t="n">
        <v>108.823386700824</v>
      </c>
      <c r="U65" s="2" t="s">
        <v>38</v>
      </c>
      <c r="V65" s="2" t="n">
        <v>1</v>
      </c>
      <c r="W65" s="2" t="n">
        <v>0.50171360000968</v>
      </c>
      <c r="Y65" s="2" t="n">
        <v>-4</v>
      </c>
      <c r="Z65" s="2" t="n">
        <v>176374</v>
      </c>
      <c r="AA65" s="2" t="n">
        <v>1</v>
      </c>
      <c r="AB65" s="2" t="s">
        <v>34</v>
      </c>
      <c r="AC65" s="2" t="s">
        <v>35</v>
      </c>
      <c r="AE65" s="2" t="s">
        <v>36</v>
      </c>
      <c r="AF65" s="2" t="n">
        <v>119.92133056139</v>
      </c>
      <c r="AG65" s="2" t="s">
        <v>37</v>
      </c>
    </row>
    <row r="66" customFormat="false" ht="15" hidden="false" customHeight="false" outlineLevel="0" collapsed="false">
      <c r="A66" s="2" t="n">
        <v>64</v>
      </c>
      <c r="B66" s="2" t="n">
        <v>0</v>
      </c>
      <c r="C66" s="2" t="n">
        <v>64</v>
      </c>
      <c r="D66" s="2" t="s">
        <v>33</v>
      </c>
      <c r="E66" s="2" t="n">
        <v>1</v>
      </c>
      <c r="F66" s="2" t="n">
        <v>0.557140799239278</v>
      </c>
      <c r="H66" s="2" t="n">
        <v>0</v>
      </c>
      <c r="I66" s="2" t="n">
        <v>64</v>
      </c>
      <c r="J66" s="2" t="n">
        <v>0</v>
      </c>
      <c r="K66" s="2" t="n">
        <v>64</v>
      </c>
      <c r="L66" s="2" t="n">
        <v>0</v>
      </c>
      <c r="M66" s="2" t="n">
        <v>108.830885100178</v>
      </c>
      <c r="P66" s="2" t="n">
        <v>108.82393070031</v>
      </c>
      <c r="Q66" s="2" t="n">
        <v>108.830885100178</v>
      </c>
      <c r="R66" s="2" t="n">
        <v>109.822429400869</v>
      </c>
      <c r="S66" s="2" t="n">
        <v>109.822429400869</v>
      </c>
      <c r="T66" s="2" t="n">
        <v>110.381495900452</v>
      </c>
      <c r="U66" s="2" t="s">
        <v>33</v>
      </c>
      <c r="V66" s="2" t="n">
        <v>1</v>
      </c>
      <c r="W66" s="2" t="n">
        <v>0.557140799239278</v>
      </c>
      <c r="Y66" s="2" t="n">
        <v>0</v>
      </c>
      <c r="Z66" s="2" t="n">
        <v>176374</v>
      </c>
      <c r="AA66" s="2" t="n">
        <v>1</v>
      </c>
      <c r="AB66" s="2" t="s">
        <v>34</v>
      </c>
      <c r="AC66" s="2" t="s">
        <v>35</v>
      </c>
      <c r="AE66" s="2" t="s">
        <v>36</v>
      </c>
      <c r="AF66" s="2" t="n">
        <v>119.92133056139</v>
      </c>
      <c r="AG66" s="2" t="s">
        <v>37</v>
      </c>
    </row>
    <row r="67" customFormat="false" ht="15" hidden="false" customHeight="false" outlineLevel="0" collapsed="false">
      <c r="A67" s="2" t="n">
        <v>65</v>
      </c>
      <c r="B67" s="2" t="n">
        <v>0</v>
      </c>
      <c r="C67" s="2" t="n">
        <v>65</v>
      </c>
      <c r="D67" s="2" t="s">
        <v>38</v>
      </c>
      <c r="E67" s="2" t="n">
        <v>1</v>
      </c>
      <c r="F67" s="2" t="n">
        <v>0.637383500114083</v>
      </c>
      <c r="H67" s="2" t="n">
        <v>3</v>
      </c>
      <c r="I67" s="2" t="n">
        <v>65</v>
      </c>
      <c r="J67" s="2" t="n">
        <v>0</v>
      </c>
      <c r="K67" s="2" t="n">
        <v>65</v>
      </c>
      <c r="L67" s="2" t="n">
        <v>0</v>
      </c>
      <c r="M67" s="2" t="n">
        <v>110.388925700448</v>
      </c>
      <c r="P67" s="2" t="n">
        <v>110.382295800373</v>
      </c>
      <c r="Q67" s="2" t="n">
        <v>110.388925700448</v>
      </c>
      <c r="R67" s="2" t="n">
        <v>111.373039200902</v>
      </c>
      <c r="S67" s="2" t="n">
        <v>111.381187700667</v>
      </c>
      <c r="T67" s="2" t="n">
        <v>112.015127300285</v>
      </c>
      <c r="U67" s="2" t="s">
        <v>38</v>
      </c>
      <c r="V67" s="2" t="n">
        <v>1</v>
      </c>
      <c r="W67" s="2" t="n">
        <v>0.637383500114083</v>
      </c>
      <c r="Y67" s="2" t="n">
        <v>3</v>
      </c>
      <c r="Z67" s="2" t="n">
        <v>176374</v>
      </c>
      <c r="AA67" s="2" t="n">
        <v>1</v>
      </c>
      <c r="AB67" s="2" t="s">
        <v>34</v>
      </c>
      <c r="AC67" s="2" t="s">
        <v>35</v>
      </c>
      <c r="AE67" s="2" t="s">
        <v>36</v>
      </c>
      <c r="AF67" s="2" t="n">
        <v>119.92133056139</v>
      </c>
      <c r="AG67" s="2" t="s">
        <v>37</v>
      </c>
    </row>
    <row r="68" customFormat="false" ht="15" hidden="false" customHeight="false" outlineLevel="0" collapsed="false">
      <c r="A68" s="2" t="n">
        <v>66</v>
      </c>
      <c r="B68" s="2" t="n">
        <v>0</v>
      </c>
      <c r="C68" s="2" t="n">
        <v>66</v>
      </c>
      <c r="D68" s="2" t="s">
        <v>33</v>
      </c>
      <c r="E68" s="2" t="n">
        <v>0</v>
      </c>
      <c r="F68" s="2" t="n">
        <v>0.50489419978112</v>
      </c>
      <c r="H68" s="2" t="n">
        <v>0</v>
      </c>
      <c r="I68" s="2" t="n">
        <v>66</v>
      </c>
      <c r="J68" s="2" t="n">
        <v>0</v>
      </c>
      <c r="K68" s="2" t="n">
        <v>66</v>
      </c>
      <c r="L68" s="2" t="n">
        <v>0</v>
      </c>
      <c r="M68" s="2" t="n">
        <v>112.022429000586</v>
      </c>
      <c r="P68" s="2" t="n">
        <v>112.01563090086</v>
      </c>
      <c r="Q68" s="2" t="n">
        <v>112.022429000586</v>
      </c>
      <c r="R68" s="2" t="n">
        <v>113.005683900788</v>
      </c>
      <c r="S68" s="2" t="n">
        <v>113.014044000767</v>
      </c>
      <c r="T68" s="2" t="n">
        <v>113.51451520063</v>
      </c>
      <c r="U68" s="2" t="s">
        <v>33</v>
      </c>
      <c r="V68" s="2" t="n">
        <v>0</v>
      </c>
      <c r="W68" s="2" t="n">
        <v>0.50489419978112</v>
      </c>
      <c r="Y68" s="2" t="n">
        <v>0</v>
      </c>
      <c r="Z68" s="2" t="n">
        <v>176374</v>
      </c>
      <c r="AA68" s="2" t="n">
        <v>1</v>
      </c>
      <c r="AB68" s="2" t="s">
        <v>34</v>
      </c>
      <c r="AC68" s="2" t="s">
        <v>35</v>
      </c>
      <c r="AE68" s="2" t="s">
        <v>36</v>
      </c>
      <c r="AF68" s="2" t="n">
        <v>119.92133056139</v>
      </c>
      <c r="AG68" s="2" t="s">
        <v>37</v>
      </c>
    </row>
    <row r="69" customFormat="false" ht="15" hidden="false" customHeight="false" outlineLevel="0" collapsed="false">
      <c r="A69" s="2" t="n">
        <v>67</v>
      </c>
      <c r="B69" s="2" t="n">
        <v>0</v>
      </c>
      <c r="C69" s="2" t="n">
        <v>67</v>
      </c>
      <c r="D69" s="2" t="s">
        <v>33</v>
      </c>
      <c r="E69" s="2" t="n">
        <v>0</v>
      </c>
      <c r="F69" s="2" t="n">
        <v>0.666709399782121</v>
      </c>
      <c r="H69" s="2" t="n">
        <v>1</v>
      </c>
      <c r="I69" s="2" t="n">
        <v>67</v>
      </c>
      <c r="J69" s="2" t="n">
        <v>0</v>
      </c>
      <c r="K69" s="2" t="n">
        <v>67</v>
      </c>
      <c r="L69" s="2" t="n">
        <v>0</v>
      </c>
      <c r="M69" s="2" t="n">
        <v>113.522012700327</v>
      </c>
      <c r="P69" s="2" t="n">
        <v>113.514882800169</v>
      </c>
      <c r="Q69" s="2" t="n">
        <v>113.522012700327</v>
      </c>
      <c r="R69" s="2" t="n">
        <v>114.506680300459</v>
      </c>
      <c r="S69" s="2" t="n">
        <v>114.513914000243</v>
      </c>
      <c r="T69" s="2" t="n">
        <v>115.181214800105</v>
      </c>
      <c r="U69" s="2" t="s">
        <v>33</v>
      </c>
      <c r="V69" s="2" t="n">
        <v>0</v>
      </c>
      <c r="W69" s="2" t="n">
        <v>0.666709399782121</v>
      </c>
      <c r="Y69" s="2" t="n">
        <v>1</v>
      </c>
      <c r="Z69" s="2" t="n">
        <v>176374</v>
      </c>
      <c r="AA69" s="2" t="n">
        <v>1</v>
      </c>
      <c r="AB69" s="2" t="s">
        <v>34</v>
      </c>
      <c r="AC69" s="2" t="s">
        <v>35</v>
      </c>
      <c r="AE69" s="2" t="s">
        <v>36</v>
      </c>
      <c r="AF69" s="2" t="n">
        <v>119.92133056139</v>
      </c>
      <c r="AG69" s="2" t="s">
        <v>37</v>
      </c>
    </row>
    <row r="70" customFormat="false" ht="15" hidden="false" customHeight="false" outlineLevel="0" collapsed="false">
      <c r="A70" s="2" t="n">
        <v>68</v>
      </c>
      <c r="B70" s="2" t="n">
        <v>0</v>
      </c>
      <c r="C70" s="2" t="n">
        <v>68</v>
      </c>
      <c r="D70" s="2" t="s">
        <v>38</v>
      </c>
      <c r="E70" s="2" t="n">
        <v>1</v>
      </c>
      <c r="F70" s="2" t="n">
        <v>0.607695600017905</v>
      </c>
      <c r="H70" s="2" t="n">
        <v>-4</v>
      </c>
      <c r="I70" s="2" t="n">
        <v>68</v>
      </c>
      <c r="J70" s="2" t="n">
        <v>0</v>
      </c>
      <c r="K70" s="2" t="n">
        <v>68</v>
      </c>
      <c r="L70" s="2" t="n">
        <v>0</v>
      </c>
      <c r="M70" s="2" t="n">
        <v>115.188847300597</v>
      </c>
      <c r="P70" s="2" t="n">
        <v>115.181737700477</v>
      </c>
      <c r="Q70" s="2" t="n">
        <v>115.188847300597</v>
      </c>
      <c r="R70" s="2" t="n">
        <v>116.246306200512</v>
      </c>
      <c r="S70" s="2" t="n">
        <v>116.246306200512</v>
      </c>
      <c r="T70" s="2" t="n">
        <v>116.856059100479</v>
      </c>
      <c r="U70" s="2" t="s">
        <v>38</v>
      </c>
      <c r="V70" s="2" t="n">
        <v>1</v>
      </c>
      <c r="W70" s="2" t="n">
        <v>0.607695600017905</v>
      </c>
      <c r="Y70" s="2" t="n">
        <v>-4</v>
      </c>
      <c r="Z70" s="2" t="n">
        <v>176374</v>
      </c>
      <c r="AA70" s="2" t="n">
        <v>1</v>
      </c>
      <c r="AB70" s="2" t="s">
        <v>34</v>
      </c>
      <c r="AC70" s="2" t="s">
        <v>35</v>
      </c>
      <c r="AE70" s="2" t="s">
        <v>36</v>
      </c>
      <c r="AF70" s="2" t="n">
        <v>119.92133056139</v>
      </c>
      <c r="AG70" s="2" t="s">
        <v>37</v>
      </c>
    </row>
    <row r="71" customFormat="false" ht="15" hidden="false" customHeight="false" outlineLevel="0" collapsed="false">
      <c r="A71" s="2" t="n">
        <v>69</v>
      </c>
      <c r="B71" s="2" t="n">
        <v>0</v>
      </c>
      <c r="C71" s="2" t="n">
        <v>69</v>
      </c>
      <c r="D71" s="2" t="s">
        <v>33</v>
      </c>
      <c r="E71" s="2" t="n">
        <v>0</v>
      </c>
      <c r="F71" s="2" t="n">
        <v>0.456332200206816</v>
      </c>
      <c r="H71" s="2" t="n">
        <v>2</v>
      </c>
      <c r="I71" s="2" t="n">
        <v>69</v>
      </c>
      <c r="J71" s="2" t="n">
        <v>0</v>
      </c>
      <c r="K71" s="2" t="n">
        <v>69</v>
      </c>
      <c r="L71" s="2" t="n">
        <v>0</v>
      </c>
      <c r="M71" s="2" t="n">
        <v>116.864391300827</v>
      </c>
      <c r="P71" s="2" t="n">
        <v>116.856397000141</v>
      </c>
      <c r="Q71" s="2" t="n">
        <v>116.864391300827</v>
      </c>
      <c r="R71" s="2" t="n">
        <v>117.847634600475</v>
      </c>
      <c r="S71" s="2" t="n">
        <v>117.855934100226</v>
      </c>
      <c r="T71" s="2" t="n">
        <v>118.306824300438</v>
      </c>
      <c r="U71" s="2" t="s">
        <v>33</v>
      </c>
      <c r="V71" s="2" t="n">
        <v>0</v>
      </c>
      <c r="W71" s="2" t="n">
        <v>0.456332200206816</v>
      </c>
      <c r="Y71" s="2" t="n">
        <v>2</v>
      </c>
      <c r="Z71" s="2" t="n">
        <v>176374</v>
      </c>
      <c r="AA71" s="2" t="n">
        <v>1</v>
      </c>
      <c r="AB71" s="2" t="s">
        <v>34</v>
      </c>
      <c r="AC71" s="2" t="s">
        <v>35</v>
      </c>
      <c r="AE71" s="2" t="s">
        <v>36</v>
      </c>
      <c r="AF71" s="2" t="n">
        <v>119.92133056139</v>
      </c>
      <c r="AG71" s="2" t="s">
        <v>37</v>
      </c>
    </row>
    <row r="72" customFormat="false" ht="15" hidden="false" customHeight="false" outlineLevel="0" collapsed="false">
      <c r="A72" s="2" t="n">
        <v>70</v>
      </c>
      <c r="B72" s="2" t="n">
        <v>0</v>
      </c>
      <c r="C72" s="2" t="n">
        <v>70</v>
      </c>
      <c r="D72" s="2" t="s">
        <v>33</v>
      </c>
      <c r="E72" s="2" t="n">
        <v>1</v>
      </c>
      <c r="F72" s="2" t="n">
        <v>0.493226899765432</v>
      </c>
      <c r="H72" s="2" t="n">
        <v>0</v>
      </c>
      <c r="I72" s="2" t="n">
        <v>70</v>
      </c>
      <c r="J72" s="2" t="n">
        <v>0</v>
      </c>
      <c r="K72" s="2" t="n">
        <v>70</v>
      </c>
      <c r="L72" s="2" t="n">
        <v>0</v>
      </c>
      <c r="M72" s="2" t="n">
        <v>118.313617100008</v>
      </c>
      <c r="P72" s="2" t="n">
        <v>118.307195900008</v>
      </c>
      <c r="Q72" s="2" t="n">
        <v>118.313617100008</v>
      </c>
      <c r="R72" s="2" t="n">
        <v>119.305771800689</v>
      </c>
      <c r="S72" s="2" t="n">
        <v>119.305771800689</v>
      </c>
      <c r="T72" s="2" t="n">
        <v>119.806839700788</v>
      </c>
      <c r="U72" s="2" t="s">
        <v>33</v>
      </c>
      <c r="V72" s="2" t="n">
        <v>1</v>
      </c>
      <c r="W72" s="2" t="n">
        <v>0.493226899765432</v>
      </c>
      <c r="Y72" s="2" t="n">
        <v>0</v>
      </c>
      <c r="Z72" s="2" t="n">
        <v>176374</v>
      </c>
      <c r="AA72" s="2" t="n">
        <v>1</v>
      </c>
      <c r="AB72" s="2" t="s">
        <v>34</v>
      </c>
      <c r="AC72" s="2" t="s">
        <v>35</v>
      </c>
      <c r="AE72" s="2" t="s">
        <v>36</v>
      </c>
      <c r="AF72" s="2" t="n">
        <v>119.92133056139</v>
      </c>
      <c r="AG72" s="2" t="s">
        <v>37</v>
      </c>
    </row>
    <row r="73" customFormat="false" ht="15" hidden="false" customHeight="false" outlineLevel="0" collapsed="false">
      <c r="A73" s="2" t="n">
        <v>71</v>
      </c>
      <c r="B73" s="2" t="n">
        <v>0</v>
      </c>
      <c r="C73" s="2" t="n">
        <v>71</v>
      </c>
      <c r="D73" s="2" t="s">
        <v>33</v>
      </c>
      <c r="E73" s="2" t="n">
        <v>1</v>
      </c>
      <c r="F73" s="2" t="n">
        <v>0.691631000488997</v>
      </c>
      <c r="H73" s="2" t="n">
        <v>0</v>
      </c>
      <c r="I73" s="2" t="n">
        <v>71</v>
      </c>
      <c r="J73" s="2" t="n">
        <v>0</v>
      </c>
      <c r="K73" s="2" t="n">
        <v>71</v>
      </c>
      <c r="L73" s="2" t="n">
        <v>0</v>
      </c>
      <c r="M73" s="2" t="n">
        <v>119.813690500334</v>
      </c>
      <c r="P73" s="2" t="n">
        <v>119.807371100411</v>
      </c>
      <c r="Q73" s="2" t="n">
        <v>119.813690500334</v>
      </c>
      <c r="R73" s="2" t="n">
        <v>120.805913700722</v>
      </c>
      <c r="S73" s="2" t="n">
        <v>120.805913700722</v>
      </c>
      <c r="T73" s="2" t="n">
        <v>121.506232100539</v>
      </c>
      <c r="U73" s="2" t="s">
        <v>33</v>
      </c>
      <c r="V73" s="2" t="n">
        <v>1</v>
      </c>
      <c r="W73" s="2" t="n">
        <v>0.691631000488997</v>
      </c>
      <c r="Y73" s="2" t="n">
        <v>0</v>
      </c>
      <c r="Z73" s="2" t="n">
        <v>176374</v>
      </c>
      <c r="AA73" s="2" t="n">
        <v>1</v>
      </c>
      <c r="AB73" s="2" t="s">
        <v>34</v>
      </c>
      <c r="AC73" s="2" t="s">
        <v>35</v>
      </c>
      <c r="AE73" s="2" t="s">
        <v>36</v>
      </c>
      <c r="AF73" s="2" t="n">
        <v>119.92133056139</v>
      </c>
      <c r="AG73" s="2" t="s">
        <v>37</v>
      </c>
    </row>
    <row r="74" customFormat="false" ht="15" hidden="false" customHeight="false" outlineLevel="0" collapsed="false">
      <c r="A74" s="2" t="n">
        <v>72</v>
      </c>
      <c r="B74" s="2" t="n">
        <v>0</v>
      </c>
      <c r="C74" s="2" t="n">
        <v>72</v>
      </c>
      <c r="D74" s="2" t="s">
        <v>38</v>
      </c>
      <c r="E74" s="2" t="n">
        <v>1</v>
      </c>
      <c r="F74" s="2" t="n">
        <v>0.570990400388837</v>
      </c>
      <c r="H74" s="2" t="n">
        <v>3</v>
      </c>
      <c r="I74" s="2" t="n">
        <v>72</v>
      </c>
      <c r="J74" s="2" t="n">
        <v>0</v>
      </c>
      <c r="K74" s="2" t="n">
        <v>72</v>
      </c>
      <c r="L74" s="2" t="n">
        <v>0</v>
      </c>
      <c r="M74" s="2" t="n">
        <v>121.514073800296</v>
      </c>
      <c r="P74" s="2" t="n">
        <v>121.506629200652</v>
      </c>
      <c r="Q74" s="2" t="n">
        <v>121.514073800296</v>
      </c>
      <c r="R74" s="2" t="n">
        <v>122.497051300481</v>
      </c>
      <c r="S74" s="2" t="n">
        <v>122.505313800648</v>
      </c>
      <c r="T74" s="2" t="n">
        <v>123.072350700386</v>
      </c>
      <c r="U74" s="2" t="s">
        <v>38</v>
      </c>
      <c r="V74" s="2" t="n">
        <v>1</v>
      </c>
      <c r="W74" s="2" t="n">
        <v>0.570990400388837</v>
      </c>
      <c r="Y74" s="2" t="n">
        <v>3</v>
      </c>
      <c r="Z74" s="2" t="n">
        <v>176374</v>
      </c>
      <c r="AA74" s="2" t="n">
        <v>1</v>
      </c>
      <c r="AB74" s="2" t="s">
        <v>34</v>
      </c>
      <c r="AC74" s="2" t="s">
        <v>35</v>
      </c>
      <c r="AE74" s="2" t="s">
        <v>36</v>
      </c>
      <c r="AF74" s="2" t="n">
        <v>119.92133056139</v>
      </c>
      <c r="AG74" s="2" t="s">
        <v>37</v>
      </c>
    </row>
    <row r="75" customFormat="false" ht="15" hidden="false" customHeight="false" outlineLevel="0" collapsed="false">
      <c r="A75" s="2" t="n">
        <v>73</v>
      </c>
      <c r="B75" s="2" t="n">
        <v>0</v>
      </c>
      <c r="C75" s="2" t="n">
        <v>73</v>
      </c>
      <c r="D75" s="2" t="s">
        <v>38</v>
      </c>
      <c r="E75" s="2" t="n">
        <v>1</v>
      </c>
      <c r="F75" s="2" t="n">
        <v>1.34134020004422</v>
      </c>
      <c r="H75" s="2" t="n">
        <v>-5</v>
      </c>
      <c r="I75" s="2" t="n">
        <v>73</v>
      </c>
      <c r="J75" s="2" t="n">
        <v>0</v>
      </c>
      <c r="K75" s="2" t="n">
        <v>73</v>
      </c>
      <c r="L75" s="2" t="n">
        <v>0</v>
      </c>
      <c r="M75" s="2" t="n">
        <v>123.08019620087</v>
      </c>
      <c r="P75" s="2" t="n">
        <v>123.072898300365</v>
      </c>
      <c r="Q75" s="2" t="n">
        <v>123.08019620087</v>
      </c>
      <c r="R75" s="2" t="n">
        <v>124.064067000523</v>
      </c>
      <c r="S75" s="2" t="n">
        <v>124.072167700157</v>
      </c>
      <c r="T75" s="2" t="n">
        <v>125.407085500658</v>
      </c>
      <c r="U75" s="2" t="s">
        <v>38</v>
      </c>
      <c r="V75" s="2" t="n">
        <v>1</v>
      </c>
      <c r="W75" s="2" t="n">
        <v>1.34134020004422</v>
      </c>
      <c r="Y75" s="2" t="n">
        <v>-5</v>
      </c>
      <c r="Z75" s="2" t="n">
        <v>176374</v>
      </c>
      <c r="AA75" s="2" t="n">
        <v>1</v>
      </c>
      <c r="AB75" s="2" t="s">
        <v>34</v>
      </c>
      <c r="AC75" s="2" t="s">
        <v>35</v>
      </c>
      <c r="AE75" s="2" t="s">
        <v>36</v>
      </c>
      <c r="AF75" s="2" t="n">
        <v>119.92133056139</v>
      </c>
      <c r="AG75" s="2" t="s">
        <v>37</v>
      </c>
    </row>
    <row r="76" customFormat="false" ht="15" hidden="false" customHeight="false" outlineLevel="0" collapsed="false">
      <c r="A76" s="2" t="n">
        <v>74</v>
      </c>
      <c r="B76" s="2" t="n">
        <v>0</v>
      </c>
      <c r="C76" s="2" t="n">
        <v>74</v>
      </c>
      <c r="D76" s="2" t="s">
        <v>33</v>
      </c>
      <c r="E76" s="2" t="n">
        <v>1</v>
      </c>
      <c r="F76" s="2" t="n">
        <v>0.555807800032198</v>
      </c>
      <c r="H76" s="2" t="n">
        <v>0</v>
      </c>
      <c r="I76" s="2" t="n">
        <v>74</v>
      </c>
      <c r="J76" s="2" t="n">
        <v>0</v>
      </c>
      <c r="K76" s="2" t="n">
        <v>74</v>
      </c>
      <c r="L76" s="2" t="n">
        <v>0</v>
      </c>
      <c r="M76" s="2" t="n">
        <v>125.413492500782</v>
      </c>
      <c r="P76" s="2" t="n">
        <v>125.40749250073</v>
      </c>
      <c r="Q76" s="2" t="n">
        <v>125.413492500782</v>
      </c>
      <c r="R76" s="2" t="n">
        <v>126.405398000032</v>
      </c>
      <c r="S76" s="2" t="n">
        <v>126.405398000032</v>
      </c>
      <c r="T76" s="2" t="n">
        <v>126.963887000456</v>
      </c>
      <c r="U76" s="2" t="s">
        <v>33</v>
      </c>
      <c r="V76" s="2" t="n">
        <v>1</v>
      </c>
      <c r="W76" s="2" t="n">
        <v>0.555807800032198</v>
      </c>
      <c r="Y76" s="2" t="n">
        <v>0</v>
      </c>
      <c r="Z76" s="2" t="n">
        <v>176374</v>
      </c>
      <c r="AA76" s="2" t="n">
        <v>1</v>
      </c>
      <c r="AB76" s="2" t="s">
        <v>34</v>
      </c>
      <c r="AC76" s="2" t="s">
        <v>35</v>
      </c>
      <c r="AE76" s="2" t="s">
        <v>36</v>
      </c>
      <c r="AF76" s="2" t="n">
        <v>119.92133056139</v>
      </c>
      <c r="AG76" s="2" t="s">
        <v>37</v>
      </c>
    </row>
    <row r="77" customFormat="false" ht="15" hidden="false" customHeight="false" outlineLevel="0" collapsed="false">
      <c r="A77" s="2" t="n">
        <v>75</v>
      </c>
      <c r="B77" s="2" t="n">
        <v>0</v>
      </c>
      <c r="C77" s="2" t="n">
        <v>75</v>
      </c>
      <c r="D77" s="2" t="s">
        <v>33</v>
      </c>
      <c r="E77" s="2" t="n">
        <v>1</v>
      </c>
      <c r="F77" s="2" t="n">
        <v>0.79176289960742</v>
      </c>
      <c r="H77" s="2" t="n">
        <v>0</v>
      </c>
      <c r="I77" s="2" t="n">
        <v>75</v>
      </c>
      <c r="J77" s="2" t="n">
        <v>0</v>
      </c>
      <c r="K77" s="2" t="n">
        <v>75</v>
      </c>
      <c r="L77" s="2" t="n">
        <v>0</v>
      </c>
      <c r="M77" s="2" t="n">
        <v>126.971872100607</v>
      </c>
      <c r="P77" s="2" t="n">
        <v>126.964204100892</v>
      </c>
      <c r="Q77" s="2" t="n">
        <v>126.971872100607</v>
      </c>
      <c r="R77" s="2" t="n">
        <v>127.955581200309</v>
      </c>
      <c r="S77" s="2" t="n">
        <v>127.964158600196</v>
      </c>
      <c r="T77" s="2" t="n">
        <v>128.755982900038</v>
      </c>
      <c r="U77" s="2" t="s">
        <v>33</v>
      </c>
      <c r="V77" s="2" t="n">
        <v>1</v>
      </c>
      <c r="W77" s="2" t="n">
        <v>0.79176289960742</v>
      </c>
      <c r="Y77" s="2" t="n">
        <v>0</v>
      </c>
      <c r="Z77" s="2" t="n">
        <v>176374</v>
      </c>
      <c r="AA77" s="2" t="n">
        <v>1</v>
      </c>
      <c r="AB77" s="2" t="s">
        <v>34</v>
      </c>
      <c r="AC77" s="2" t="s">
        <v>35</v>
      </c>
      <c r="AE77" s="2" t="s">
        <v>36</v>
      </c>
      <c r="AF77" s="2" t="n">
        <v>119.92133056139</v>
      </c>
      <c r="AG77" s="2" t="s">
        <v>37</v>
      </c>
    </row>
    <row r="78" customFormat="false" ht="15" hidden="false" customHeight="false" outlineLevel="0" collapsed="false">
      <c r="A78" s="2" t="n">
        <v>76</v>
      </c>
      <c r="B78" s="2" t="n">
        <v>0</v>
      </c>
      <c r="C78" s="2" t="n">
        <v>76</v>
      </c>
      <c r="D78" s="2" t="s">
        <v>38</v>
      </c>
      <c r="E78" s="2" t="n">
        <v>1</v>
      </c>
      <c r="F78" s="2" t="n">
        <v>0.660905100405216</v>
      </c>
      <c r="H78" s="2" t="n">
        <v>3</v>
      </c>
      <c r="I78" s="2" t="n">
        <v>76</v>
      </c>
      <c r="J78" s="2" t="n">
        <v>0</v>
      </c>
      <c r="K78" s="2" t="n">
        <v>76</v>
      </c>
      <c r="L78" s="2" t="n">
        <v>0</v>
      </c>
      <c r="M78" s="2" t="n">
        <v>128.763854500838</v>
      </c>
      <c r="P78" s="2" t="n">
        <v>128.756649700925</v>
      </c>
      <c r="Q78" s="2" t="n">
        <v>128.763854500838</v>
      </c>
      <c r="R78" s="2" t="n">
        <v>129.755900000222</v>
      </c>
      <c r="S78" s="2" t="n">
        <v>129.755900000222</v>
      </c>
      <c r="T78" s="2" t="n">
        <v>130.422052100301</v>
      </c>
      <c r="U78" s="2" t="s">
        <v>38</v>
      </c>
      <c r="V78" s="2" t="n">
        <v>1</v>
      </c>
      <c r="W78" s="2" t="n">
        <v>0.660905100405216</v>
      </c>
      <c r="Y78" s="2" t="n">
        <v>3</v>
      </c>
      <c r="Z78" s="2" t="n">
        <v>176374</v>
      </c>
      <c r="AA78" s="2" t="n">
        <v>1</v>
      </c>
      <c r="AB78" s="2" t="s">
        <v>34</v>
      </c>
      <c r="AC78" s="2" t="s">
        <v>35</v>
      </c>
      <c r="AE78" s="2" t="s">
        <v>36</v>
      </c>
      <c r="AF78" s="2" t="n">
        <v>119.92133056139</v>
      </c>
      <c r="AG78" s="2" t="s">
        <v>37</v>
      </c>
    </row>
    <row r="79" customFormat="false" ht="15" hidden="false" customHeight="false" outlineLevel="0" collapsed="false">
      <c r="A79" s="2" t="n">
        <v>77</v>
      </c>
      <c r="B79" s="2" t="n">
        <v>0</v>
      </c>
      <c r="C79" s="2" t="n">
        <v>77</v>
      </c>
      <c r="D79" s="2" t="s">
        <v>33</v>
      </c>
      <c r="E79" s="2" t="n">
        <v>1</v>
      </c>
      <c r="F79" s="2" t="n">
        <v>0.418431099504232</v>
      </c>
      <c r="H79" s="2" t="n">
        <v>0</v>
      </c>
      <c r="I79" s="2" t="n">
        <v>77</v>
      </c>
      <c r="J79" s="2" t="n">
        <v>0</v>
      </c>
      <c r="K79" s="2" t="n">
        <v>77</v>
      </c>
      <c r="L79" s="2" t="n">
        <v>0</v>
      </c>
      <c r="M79" s="2" t="n">
        <v>130.430057200603</v>
      </c>
      <c r="P79" s="2" t="n">
        <v>130.422340800054</v>
      </c>
      <c r="Q79" s="2" t="n">
        <v>130.430057200603</v>
      </c>
      <c r="R79" s="2" t="n">
        <v>131.414001100697</v>
      </c>
      <c r="S79" s="2" t="n">
        <v>131.422235800885</v>
      </c>
      <c r="T79" s="2" t="n">
        <v>131.838901300915</v>
      </c>
      <c r="U79" s="2" t="s">
        <v>33</v>
      </c>
      <c r="V79" s="2" t="n">
        <v>1</v>
      </c>
      <c r="W79" s="2" t="n">
        <v>0.418431099504232</v>
      </c>
      <c r="Y79" s="2" t="n">
        <v>0</v>
      </c>
      <c r="Z79" s="2" t="n">
        <v>176374</v>
      </c>
      <c r="AA79" s="2" t="n">
        <v>1</v>
      </c>
      <c r="AB79" s="2" t="s">
        <v>34</v>
      </c>
      <c r="AC79" s="2" t="s">
        <v>35</v>
      </c>
      <c r="AE79" s="2" t="s">
        <v>36</v>
      </c>
      <c r="AF79" s="2" t="n">
        <v>119.92133056139</v>
      </c>
      <c r="AG79" s="2" t="s">
        <v>37</v>
      </c>
    </row>
    <row r="80" customFormat="false" ht="15" hidden="false" customHeight="false" outlineLevel="0" collapsed="false">
      <c r="A80" s="2" t="n">
        <v>78</v>
      </c>
      <c r="B80" s="2" t="n">
        <v>0</v>
      </c>
      <c r="C80" s="2" t="n">
        <v>78</v>
      </c>
      <c r="D80" s="2" t="s">
        <v>33</v>
      </c>
      <c r="E80" s="2" t="n">
        <v>0</v>
      </c>
      <c r="F80" s="2" t="n">
        <v>0.450840099714696</v>
      </c>
      <c r="H80" s="2" t="n">
        <v>1</v>
      </c>
      <c r="I80" s="2" t="n">
        <v>78</v>
      </c>
      <c r="J80" s="2" t="n">
        <v>0</v>
      </c>
      <c r="K80" s="2" t="n">
        <v>78</v>
      </c>
      <c r="L80" s="2" t="n">
        <v>0</v>
      </c>
      <c r="M80" s="2" t="n">
        <v>131.846549500711</v>
      </c>
      <c r="P80" s="2" t="n">
        <v>131.839217200875</v>
      </c>
      <c r="Q80" s="2" t="n">
        <v>131.846549500711</v>
      </c>
      <c r="R80" s="2" t="n">
        <v>132.830497400835</v>
      </c>
      <c r="S80" s="2" t="n">
        <v>132.83887970075</v>
      </c>
      <c r="T80" s="2" t="n">
        <v>133.288658700883</v>
      </c>
      <c r="U80" s="2" t="s">
        <v>33</v>
      </c>
      <c r="V80" s="2" t="n">
        <v>0</v>
      </c>
      <c r="W80" s="2" t="n">
        <v>0.450840099714696</v>
      </c>
      <c r="Y80" s="2" t="n">
        <v>1</v>
      </c>
      <c r="Z80" s="2" t="n">
        <v>176374</v>
      </c>
      <c r="AA80" s="2" t="n">
        <v>1</v>
      </c>
      <c r="AB80" s="2" t="s">
        <v>34</v>
      </c>
      <c r="AC80" s="2" t="s">
        <v>35</v>
      </c>
      <c r="AE80" s="2" t="s">
        <v>36</v>
      </c>
      <c r="AF80" s="2" t="n">
        <v>119.92133056139</v>
      </c>
      <c r="AG80" s="2" t="s">
        <v>37</v>
      </c>
    </row>
    <row r="81" customFormat="false" ht="15" hidden="false" customHeight="false" outlineLevel="0" collapsed="false">
      <c r="A81" s="2" t="n">
        <v>79</v>
      </c>
      <c r="B81" s="2" t="n">
        <v>0</v>
      </c>
      <c r="C81" s="2" t="n">
        <v>79</v>
      </c>
      <c r="D81" s="2" t="s">
        <v>33</v>
      </c>
      <c r="E81" s="2" t="n">
        <v>1</v>
      </c>
      <c r="F81" s="2" t="n">
        <v>0.753699500113726</v>
      </c>
      <c r="H81" s="2" t="n">
        <v>0</v>
      </c>
      <c r="I81" s="2" t="n">
        <v>79</v>
      </c>
      <c r="J81" s="2" t="n">
        <v>0</v>
      </c>
      <c r="K81" s="2" t="n">
        <v>79</v>
      </c>
      <c r="L81" s="2" t="n">
        <v>0</v>
      </c>
      <c r="M81" s="2" t="n">
        <v>133.296817200258</v>
      </c>
      <c r="P81" s="2" t="n">
        <v>133.28898740001</v>
      </c>
      <c r="Q81" s="2" t="n">
        <v>133.296817200258</v>
      </c>
      <c r="R81" s="2" t="n">
        <v>134.280504500493</v>
      </c>
      <c r="S81" s="2" t="n">
        <v>134.288896200247</v>
      </c>
      <c r="T81" s="2" t="n">
        <v>135.03933160007</v>
      </c>
      <c r="U81" s="2" t="s">
        <v>33</v>
      </c>
      <c r="V81" s="2" t="n">
        <v>1</v>
      </c>
      <c r="W81" s="2" t="n">
        <v>0.753699500113726</v>
      </c>
      <c r="Y81" s="2" t="n">
        <v>0</v>
      </c>
      <c r="Z81" s="2" t="n">
        <v>176374</v>
      </c>
      <c r="AA81" s="2" t="n">
        <v>1</v>
      </c>
      <c r="AB81" s="2" t="s">
        <v>34</v>
      </c>
      <c r="AC81" s="2" t="s">
        <v>35</v>
      </c>
      <c r="AE81" s="2" t="s">
        <v>36</v>
      </c>
      <c r="AF81" s="2" t="n">
        <v>119.92133056139</v>
      </c>
      <c r="AG81" s="2" t="s">
        <v>37</v>
      </c>
    </row>
    <row r="82" customFormat="false" ht="15" hidden="false" customHeight="false" outlineLevel="0" collapsed="false">
      <c r="A82" s="2" t="n">
        <v>80</v>
      </c>
      <c r="B82" s="2" t="n">
        <v>0</v>
      </c>
      <c r="C82" s="2" t="n">
        <v>80</v>
      </c>
      <c r="D82" s="2" t="s">
        <v>38</v>
      </c>
      <c r="E82" s="2" t="n">
        <v>1</v>
      </c>
      <c r="F82" s="2" t="n">
        <v>0.621072799898684</v>
      </c>
      <c r="H82" s="2" t="n">
        <v>-4</v>
      </c>
      <c r="I82" s="2" t="n">
        <v>80</v>
      </c>
      <c r="J82" s="2" t="n">
        <v>0</v>
      </c>
      <c r="K82" s="2" t="n">
        <v>80</v>
      </c>
      <c r="L82" s="2" t="n">
        <v>0</v>
      </c>
      <c r="M82" s="2" t="n">
        <v>135.04723810032</v>
      </c>
      <c r="P82" s="2" t="n">
        <v>135.039889800362</v>
      </c>
      <c r="Q82" s="2" t="n">
        <v>135.04723810032</v>
      </c>
      <c r="R82" s="2" t="n">
        <v>136.039138200693</v>
      </c>
      <c r="S82" s="2" t="n">
        <v>136.039138200693</v>
      </c>
      <c r="T82" s="2" t="n">
        <v>136.664914600551</v>
      </c>
      <c r="U82" s="2" t="s">
        <v>38</v>
      </c>
      <c r="V82" s="2" t="n">
        <v>1</v>
      </c>
      <c r="W82" s="2" t="n">
        <v>0.621072799898684</v>
      </c>
      <c r="Y82" s="2" t="n">
        <v>-4</v>
      </c>
      <c r="Z82" s="2" t="n">
        <v>176374</v>
      </c>
      <c r="AA82" s="2" t="n">
        <v>1</v>
      </c>
      <c r="AB82" s="2" t="s">
        <v>34</v>
      </c>
      <c r="AC82" s="2" t="s">
        <v>35</v>
      </c>
      <c r="AE82" s="2" t="s">
        <v>36</v>
      </c>
      <c r="AF82" s="2" t="n">
        <v>119.92133056139</v>
      </c>
      <c r="AG82" s="2" t="s">
        <v>37</v>
      </c>
    </row>
    <row r="83" customFormat="false" ht="15" hidden="false" customHeight="false" outlineLevel="0" collapsed="false">
      <c r="A83" s="2" t="n">
        <v>81</v>
      </c>
      <c r="B83" s="2" t="n">
        <v>0</v>
      </c>
      <c r="C83" s="2" t="n">
        <v>81</v>
      </c>
      <c r="D83" s="2" t="s">
        <v>38</v>
      </c>
      <c r="E83" s="2" t="n">
        <v>1</v>
      </c>
      <c r="F83" s="2" t="n">
        <v>0.773679599165916</v>
      </c>
      <c r="H83" s="2" t="n">
        <v>2</v>
      </c>
      <c r="I83" s="2" t="n">
        <v>81</v>
      </c>
      <c r="J83" s="2" t="n">
        <v>0</v>
      </c>
      <c r="K83" s="2" t="n">
        <v>81</v>
      </c>
      <c r="L83" s="2" t="n">
        <v>0</v>
      </c>
      <c r="M83" s="2" t="n">
        <v>136.671465800144</v>
      </c>
      <c r="P83" s="2" t="n">
        <v>136.665456200019</v>
      </c>
      <c r="Q83" s="2" t="n">
        <v>136.671465800144</v>
      </c>
      <c r="R83" s="2" t="n">
        <v>137.663444300182</v>
      </c>
      <c r="S83" s="2" t="n">
        <v>137.663444300182</v>
      </c>
      <c r="T83" s="2" t="n">
        <v>138.438638900407</v>
      </c>
      <c r="U83" s="2" t="s">
        <v>38</v>
      </c>
      <c r="V83" s="2" t="n">
        <v>1</v>
      </c>
      <c r="W83" s="2" t="n">
        <v>0.773679599165916</v>
      </c>
      <c r="Y83" s="2" t="n">
        <v>2</v>
      </c>
      <c r="Z83" s="2" t="n">
        <v>176374</v>
      </c>
      <c r="AA83" s="2" t="n">
        <v>1</v>
      </c>
      <c r="AB83" s="2" t="s">
        <v>34</v>
      </c>
      <c r="AC83" s="2" t="s">
        <v>35</v>
      </c>
      <c r="AE83" s="2" t="s">
        <v>36</v>
      </c>
      <c r="AF83" s="2" t="n">
        <v>119.92133056139</v>
      </c>
      <c r="AG83" s="2" t="s">
        <v>37</v>
      </c>
    </row>
    <row r="84" customFormat="false" ht="15" hidden="false" customHeight="false" outlineLevel="0" collapsed="false">
      <c r="A84" s="2" t="n">
        <v>82</v>
      </c>
      <c r="B84" s="2" t="n">
        <v>0</v>
      </c>
      <c r="C84" s="2" t="n">
        <v>82</v>
      </c>
      <c r="D84" s="2" t="s">
        <v>33</v>
      </c>
      <c r="E84" s="2" t="n">
        <v>1</v>
      </c>
      <c r="F84" s="2" t="n">
        <v>0.609357600100339</v>
      </c>
      <c r="H84" s="2" t="n">
        <v>0</v>
      </c>
      <c r="I84" s="2" t="n">
        <v>82</v>
      </c>
      <c r="J84" s="2" t="n">
        <v>0</v>
      </c>
      <c r="K84" s="2" t="n">
        <v>82</v>
      </c>
      <c r="L84" s="2" t="n">
        <v>0</v>
      </c>
      <c r="M84" s="2" t="n">
        <v>138.446550000459</v>
      </c>
      <c r="P84" s="2" t="n">
        <v>138.439045600593</v>
      </c>
      <c r="Q84" s="2" t="n">
        <v>138.446550000459</v>
      </c>
      <c r="R84" s="2" t="n">
        <v>139.42996900063</v>
      </c>
      <c r="S84" s="2" t="n">
        <v>139.438691500574</v>
      </c>
      <c r="T84" s="2" t="n">
        <v>140.047491200268</v>
      </c>
      <c r="U84" s="2" t="s">
        <v>33</v>
      </c>
      <c r="V84" s="2" t="n">
        <v>1</v>
      </c>
      <c r="W84" s="2" t="n">
        <v>0.609357600100339</v>
      </c>
      <c r="Y84" s="2" t="n">
        <v>0</v>
      </c>
      <c r="Z84" s="2" t="n">
        <v>176374</v>
      </c>
      <c r="AA84" s="2" t="n">
        <v>1</v>
      </c>
      <c r="AB84" s="2" t="s">
        <v>34</v>
      </c>
      <c r="AC84" s="2" t="s">
        <v>35</v>
      </c>
      <c r="AE84" s="2" t="s">
        <v>36</v>
      </c>
      <c r="AF84" s="2" t="n">
        <v>119.92133056139</v>
      </c>
      <c r="AG84" s="2" t="s">
        <v>37</v>
      </c>
    </row>
    <row r="85" customFormat="false" ht="15" hidden="false" customHeight="false" outlineLevel="0" collapsed="false">
      <c r="A85" s="2" t="n">
        <v>83</v>
      </c>
      <c r="B85" s="2" t="n">
        <v>0</v>
      </c>
      <c r="C85" s="2" t="n">
        <v>83</v>
      </c>
      <c r="D85" s="2" t="s">
        <v>33</v>
      </c>
      <c r="E85" s="2" t="n">
        <v>0</v>
      </c>
      <c r="F85" s="2" t="n">
        <v>1.16845840029419</v>
      </c>
      <c r="H85" s="2" t="n">
        <v>2</v>
      </c>
      <c r="I85" s="2" t="n">
        <v>83</v>
      </c>
      <c r="J85" s="2" t="n">
        <v>0</v>
      </c>
      <c r="K85" s="2" t="n">
        <v>83</v>
      </c>
      <c r="L85" s="2" t="n">
        <v>0</v>
      </c>
      <c r="M85" s="2" t="n">
        <v>140.054849600419</v>
      </c>
      <c r="P85" s="2" t="n">
        <v>140.048229000531</v>
      </c>
      <c r="Q85" s="2" t="n">
        <v>140.054849600419</v>
      </c>
      <c r="R85" s="2" t="n">
        <v>141.046557500027</v>
      </c>
      <c r="S85" s="2" t="n">
        <v>141.046557500027</v>
      </c>
      <c r="T85" s="2" t="n">
        <v>142.221563400701</v>
      </c>
      <c r="U85" s="2" t="s">
        <v>33</v>
      </c>
      <c r="V85" s="2" t="n">
        <v>0</v>
      </c>
      <c r="W85" s="2" t="n">
        <v>1.16845840029419</v>
      </c>
      <c r="Y85" s="2" t="n">
        <v>2</v>
      </c>
      <c r="Z85" s="2" t="n">
        <v>176374</v>
      </c>
      <c r="AA85" s="2" t="n">
        <v>1</v>
      </c>
      <c r="AB85" s="2" t="s">
        <v>34</v>
      </c>
      <c r="AC85" s="2" t="s">
        <v>35</v>
      </c>
      <c r="AE85" s="2" t="s">
        <v>36</v>
      </c>
      <c r="AF85" s="2" t="n">
        <v>119.92133056139</v>
      </c>
      <c r="AG85" s="2" t="s">
        <v>37</v>
      </c>
    </row>
    <row r="86" customFormat="false" ht="15" hidden="false" customHeight="false" outlineLevel="0" collapsed="false">
      <c r="A86" s="2" t="n">
        <v>84</v>
      </c>
      <c r="B86" s="2" t="n">
        <v>0</v>
      </c>
      <c r="C86" s="2" t="n">
        <v>84</v>
      </c>
      <c r="D86" s="2" t="s">
        <v>33</v>
      </c>
      <c r="E86" s="2" t="n">
        <v>0</v>
      </c>
      <c r="F86" s="2" t="n">
        <v>2.85389839950949</v>
      </c>
      <c r="H86" s="2" t="n">
        <v>1</v>
      </c>
      <c r="I86" s="2" t="n">
        <v>84</v>
      </c>
      <c r="J86" s="2" t="n">
        <v>0</v>
      </c>
      <c r="K86" s="2" t="n">
        <v>84</v>
      </c>
      <c r="L86" s="2" t="n">
        <v>0</v>
      </c>
      <c r="M86" s="2" t="n">
        <v>142.229847900569</v>
      </c>
      <c r="P86" s="2" t="n">
        <v>142.221861000173</v>
      </c>
      <c r="Q86" s="2" t="n">
        <v>142.229847900569</v>
      </c>
      <c r="R86" s="2" t="n">
        <v>143.213151700795</v>
      </c>
      <c r="S86" s="2" t="n">
        <v>143.221563100815</v>
      </c>
      <c r="T86" s="2" t="n">
        <v>146.072299900465</v>
      </c>
      <c r="U86" s="2" t="s">
        <v>33</v>
      </c>
      <c r="V86" s="2" t="n">
        <v>0</v>
      </c>
      <c r="W86" s="2" t="n">
        <v>2.85389839950949</v>
      </c>
      <c r="Y86" s="2" t="n">
        <v>1</v>
      </c>
      <c r="Z86" s="2" t="n">
        <v>176374</v>
      </c>
      <c r="AA86" s="2" t="n">
        <v>1</v>
      </c>
      <c r="AB86" s="2" t="s">
        <v>34</v>
      </c>
      <c r="AC86" s="2" t="s">
        <v>35</v>
      </c>
      <c r="AE86" s="2" t="s">
        <v>36</v>
      </c>
      <c r="AF86" s="2" t="n">
        <v>119.92133056139</v>
      </c>
      <c r="AG86" s="2" t="s">
        <v>37</v>
      </c>
    </row>
    <row r="87" customFormat="false" ht="15" hidden="false" customHeight="false" outlineLevel="0" collapsed="false">
      <c r="A87" s="2" t="n">
        <v>85</v>
      </c>
      <c r="B87" s="2" t="n">
        <v>0</v>
      </c>
      <c r="C87" s="2" t="n">
        <v>85</v>
      </c>
      <c r="D87" s="2" t="s">
        <v>33</v>
      </c>
      <c r="E87" s="2" t="n">
        <v>1</v>
      </c>
      <c r="F87" s="2" t="n">
        <v>0.692197299562395</v>
      </c>
      <c r="H87" s="2" t="n">
        <v>0</v>
      </c>
      <c r="I87" s="2" t="n">
        <v>85</v>
      </c>
      <c r="J87" s="2" t="n">
        <v>0</v>
      </c>
      <c r="K87" s="2" t="n">
        <v>85</v>
      </c>
      <c r="L87" s="2" t="n">
        <v>0</v>
      </c>
      <c r="M87" s="2" t="n">
        <v>146.080035800114</v>
      </c>
      <c r="P87" s="2" t="n">
        <v>146.072826100513</v>
      </c>
      <c r="Q87" s="2" t="n">
        <v>146.080035800114</v>
      </c>
      <c r="R87" s="2" t="n">
        <v>147.063344300725</v>
      </c>
      <c r="S87" s="2" t="n">
        <v>147.07267670054</v>
      </c>
      <c r="T87" s="2" t="n">
        <v>147.764298700728</v>
      </c>
      <c r="U87" s="2" t="s">
        <v>33</v>
      </c>
      <c r="V87" s="2" t="n">
        <v>1</v>
      </c>
      <c r="W87" s="2" t="n">
        <v>0.692197299562395</v>
      </c>
      <c r="Y87" s="2" t="n">
        <v>0</v>
      </c>
      <c r="Z87" s="2" t="n">
        <v>176374</v>
      </c>
      <c r="AA87" s="2" t="n">
        <v>1</v>
      </c>
      <c r="AB87" s="2" t="s">
        <v>34</v>
      </c>
      <c r="AC87" s="2" t="s">
        <v>35</v>
      </c>
      <c r="AE87" s="2" t="s">
        <v>36</v>
      </c>
      <c r="AF87" s="2" t="n">
        <v>119.92133056139</v>
      </c>
      <c r="AG87" s="2" t="s">
        <v>37</v>
      </c>
    </row>
    <row r="88" customFormat="false" ht="15" hidden="false" customHeight="false" outlineLevel="0" collapsed="false">
      <c r="A88" s="2" t="n">
        <v>86</v>
      </c>
      <c r="B88" s="2" t="n">
        <v>0</v>
      </c>
      <c r="C88" s="2" t="n">
        <v>86</v>
      </c>
      <c r="D88" s="2" t="s">
        <v>33</v>
      </c>
      <c r="E88" s="2" t="n">
        <v>0</v>
      </c>
      <c r="F88" s="2" t="n">
        <v>0.622274300083518</v>
      </c>
      <c r="H88" s="2" t="n">
        <v>-1</v>
      </c>
      <c r="I88" s="2" t="n">
        <v>86</v>
      </c>
      <c r="J88" s="2" t="n">
        <v>0</v>
      </c>
      <c r="K88" s="2" t="n">
        <v>86</v>
      </c>
      <c r="L88" s="2" t="n">
        <v>0</v>
      </c>
      <c r="M88" s="2" t="n">
        <v>147.771517500281</v>
      </c>
      <c r="P88" s="2" t="n">
        <v>147.764751400799</v>
      </c>
      <c r="Q88" s="2" t="n">
        <v>147.771517500281</v>
      </c>
      <c r="R88" s="2" t="n">
        <v>148.763415300287</v>
      </c>
      <c r="S88" s="2" t="n">
        <v>148.763415300287</v>
      </c>
      <c r="T88" s="2" t="n">
        <v>149.389346300624</v>
      </c>
      <c r="U88" s="2" t="s">
        <v>33</v>
      </c>
      <c r="V88" s="2" t="n">
        <v>0</v>
      </c>
      <c r="W88" s="2" t="n">
        <v>0.622274300083518</v>
      </c>
      <c r="Y88" s="2" t="n">
        <v>-1</v>
      </c>
      <c r="Z88" s="2" t="n">
        <v>176374</v>
      </c>
      <c r="AA88" s="2" t="n">
        <v>1</v>
      </c>
      <c r="AB88" s="2" t="s">
        <v>34</v>
      </c>
      <c r="AC88" s="2" t="s">
        <v>35</v>
      </c>
      <c r="AE88" s="2" t="s">
        <v>36</v>
      </c>
      <c r="AF88" s="2" t="n">
        <v>119.92133056139</v>
      </c>
      <c r="AG88" s="2" t="s">
        <v>37</v>
      </c>
    </row>
    <row r="89" customFormat="false" ht="15" hidden="false" customHeight="false" outlineLevel="0" collapsed="false">
      <c r="A89" s="2" t="n">
        <v>87</v>
      </c>
      <c r="B89" s="2" t="n">
        <v>0</v>
      </c>
      <c r="C89" s="2" t="n">
        <v>87</v>
      </c>
      <c r="D89" s="2" t="s">
        <v>33</v>
      </c>
      <c r="E89" s="2" t="n">
        <v>0</v>
      </c>
      <c r="F89" s="2" t="n">
        <v>0.574390900321305</v>
      </c>
      <c r="H89" s="2" t="n">
        <v>-2</v>
      </c>
      <c r="I89" s="2" t="n">
        <v>87</v>
      </c>
      <c r="J89" s="2" t="n">
        <v>0</v>
      </c>
      <c r="K89" s="2" t="n">
        <v>87</v>
      </c>
      <c r="L89" s="2" t="n">
        <v>0</v>
      </c>
      <c r="M89" s="2" t="n">
        <v>149.396812900901</v>
      </c>
      <c r="P89" s="2" t="n">
        <v>149.389830400236</v>
      </c>
      <c r="Q89" s="2" t="n">
        <v>149.396812900901</v>
      </c>
      <c r="R89" s="2" t="n">
        <v>150.388135500252</v>
      </c>
      <c r="S89" s="2" t="n">
        <v>150.388135500252</v>
      </c>
      <c r="T89" s="2" t="n">
        <v>150.964250100777</v>
      </c>
      <c r="U89" s="2" t="s">
        <v>33</v>
      </c>
      <c r="V89" s="2" t="n">
        <v>0</v>
      </c>
      <c r="W89" s="2" t="n">
        <v>0.574390900321305</v>
      </c>
      <c r="Y89" s="2" t="n">
        <v>-2</v>
      </c>
      <c r="Z89" s="2" t="n">
        <v>176374</v>
      </c>
      <c r="AA89" s="2" t="n">
        <v>1</v>
      </c>
      <c r="AB89" s="2" t="s">
        <v>34</v>
      </c>
      <c r="AC89" s="2" t="s">
        <v>35</v>
      </c>
      <c r="AE89" s="2" t="s">
        <v>36</v>
      </c>
      <c r="AF89" s="2" t="n">
        <v>119.92133056139</v>
      </c>
      <c r="AG89" s="2" t="s">
        <v>37</v>
      </c>
    </row>
    <row r="90" customFormat="false" ht="15" hidden="false" customHeight="false" outlineLevel="0" collapsed="false">
      <c r="A90" s="2" t="n">
        <v>88</v>
      </c>
      <c r="B90" s="2" t="n">
        <v>0</v>
      </c>
      <c r="C90" s="2" t="n">
        <v>88</v>
      </c>
      <c r="D90" s="2" t="s">
        <v>33</v>
      </c>
      <c r="E90" s="2" t="n">
        <v>1</v>
      </c>
      <c r="F90" s="2" t="n">
        <v>0.540183999575675</v>
      </c>
      <c r="H90" s="2" t="n">
        <v>0</v>
      </c>
      <c r="I90" s="2" t="n">
        <v>88</v>
      </c>
      <c r="J90" s="2" t="n">
        <v>0</v>
      </c>
      <c r="K90" s="2" t="n">
        <v>88</v>
      </c>
      <c r="L90" s="2" t="n">
        <v>0</v>
      </c>
      <c r="M90" s="2" t="n">
        <v>150.971399700269</v>
      </c>
      <c r="P90" s="2" t="n">
        <v>150.964739300311</v>
      </c>
      <c r="Q90" s="2" t="n">
        <v>150.971399700269</v>
      </c>
      <c r="R90" s="2" t="n">
        <v>151.963372400031</v>
      </c>
      <c r="S90" s="2" t="n">
        <v>151.963372400031</v>
      </c>
      <c r="T90" s="2" t="n">
        <v>152.505739700049</v>
      </c>
      <c r="U90" s="2" t="s">
        <v>33</v>
      </c>
      <c r="V90" s="2" t="n">
        <v>1</v>
      </c>
      <c r="W90" s="2" t="n">
        <v>0.540183999575675</v>
      </c>
      <c r="Y90" s="2" t="n">
        <v>0</v>
      </c>
      <c r="Z90" s="2" t="n">
        <v>176374</v>
      </c>
      <c r="AA90" s="2" t="n">
        <v>1</v>
      </c>
      <c r="AB90" s="2" t="s">
        <v>34</v>
      </c>
      <c r="AC90" s="2" t="s">
        <v>35</v>
      </c>
      <c r="AE90" s="2" t="s">
        <v>36</v>
      </c>
      <c r="AF90" s="2" t="n">
        <v>119.92133056139</v>
      </c>
      <c r="AG90" s="2" t="s">
        <v>37</v>
      </c>
    </row>
    <row r="91" customFormat="false" ht="15" hidden="false" customHeight="false" outlineLevel="0" collapsed="false">
      <c r="A91" s="2" t="n">
        <v>89</v>
      </c>
      <c r="B91" s="2" t="n">
        <v>0</v>
      </c>
      <c r="C91" s="2" t="n">
        <v>89</v>
      </c>
      <c r="D91" s="2" t="s">
        <v>33</v>
      </c>
      <c r="E91" s="2" t="n">
        <v>1</v>
      </c>
      <c r="F91" s="2" t="n">
        <v>0.404582399874926</v>
      </c>
      <c r="H91" s="2" t="n">
        <v>0</v>
      </c>
      <c r="I91" s="2" t="n">
        <v>89</v>
      </c>
      <c r="J91" s="2" t="n">
        <v>0</v>
      </c>
      <c r="K91" s="2" t="n">
        <v>89</v>
      </c>
      <c r="L91" s="2" t="n">
        <v>0</v>
      </c>
      <c r="M91" s="2" t="n">
        <v>152.513445000164</v>
      </c>
      <c r="P91" s="2" t="n">
        <v>152.506191800349</v>
      </c>
      <c r="Q91" s="2" t="n">
        <v>152.513445000164</v>
      </c>
      <c r="R91" s="2" t="n">
        <v>153.49621460028</v>
      </c>
      <c r="S91" s="2" t="n">
        <v>153.504908700474</v>
      </c>
      <c r="T91" s="2" t="n">
        <v>153.905174600892</v>
      </c>
      <c r="U91" s="2" t="s">
        <v>33</v>
      </c>
      <c r="V91" s="2" t="n">
        <v>1</v>
      </c>
      <c r="W91" s="2" t="n">
        <v>0.404582399874926</v>
      </c>
      <c r="Y91" s="2" t="n">
        <v>0</v>
      </c>
      <c r="Z91" s="2" t="n">
        <v>176374</v>
      </c>
      <c r="AA91" s="2" t="n">
        <v>1</v>
      </c>
      <c r="AB91" s="2" t="s">
        <v>34</v>
      </c>
      <c r="AC91" s="2" t="s">
        <v>35</v>
      </c>
      <c r="AE91" s="2" t="s">
        <v>36</v>
      </c>
      <c r="AF91" s="2" t="n">
        <v>119.92133056139</v>
      </c>
      <c r="AG91" s="2" t="s">
        <v>37</v>
      </c>
    </row>
    <row r="92" customFormat="false" ht="15" hidden="false" customHeight="false" outlineLevel="0" collapsed="false">
      <c r="A92" s="2" t="n">
        <v>90</v>
      </c>
      <c r="B92" s="2" t="n">
        <v>0</v>
      </c>
      <c r="C92" s="2" t="n">
        <v>90</v>
      </c>
      <c r="D92" s="2" t="s">
        <v>33</v>
      </c>
      <c r="E92" s="2" t="n">
        <v>1</v>
      </c>
      <c r="F92" s="2" t="n">
        <v>0.449217000044882</v>
      </c>
      <c r="H92" s="2" t="n">
        <v>0</v>
      </c>
      <c r="I92" s="2" t="n">
        <v>90</v>
      </c>
      <c r="J92" s="2" t="n">
        <v>0</v>
      </c>
      <c r="K92" s="2" t="n">
        <v>90</v>
      </c>
      <c r="L92" s="2" t="n">
        <v>0</v>
      </c>
      <c r="M92" s="2" t="n">
        <v>153.912933100015</v>
      </c>
      <c r="P92" s="2" t="n">
        <v>153.905663600192</v>
      </c>
      <c r="Q92" s="2" t="n">
        <v>153.912933100015</v>
      </c>
      <c r="R92" s="2" t="n">
        <v>154.896574400365</v>
      </c>
      <c r="S92" s="2" t="n">
        <v>154.90501390025</v>
      </c>
      <c r="T92" s="2" t="n">
        <v>155.347437100485</v>
      </c>
      <c r="U92" s="2" t="s">
        <v>33</v>
      </c>
      <c r="V92" s="2" t="n">
        <v>1</v>
      </c>
      <c r="W92" s="2" t="n">
        <v>0.449217000044882</v>
      </c>
      <c r="Y92" s="2" t="n">
        <v>0</v>
      </c>
      <c r="Z92" s="2" t="n">
        <v>176374</v>
      </c>
      <c r="AA92" s="2" t="n">
        <v>1</v>
      </c>
      <c r="AB92" s="2" t="s">
        <v>34</v>
      </c>
      <c r="AC92" s="2" t="s">
        <v>35</v>
      </c>
      <c r="AE92" s="2" t="s">
        <v>36</v>
      </c>
      <c r="AF92" s="2" t="n">
        <v>119.92133056139</v>
      </c>
      <c r="AG92" s="2" t="s">
        <v>37</v>
      </c>
    </row>
    <row r="93" customFormat="false" ht="15" hidden="false" customHeight="false" outlineLevel="0" collapsed="false">
      <c r="A93" s="2" t="n">
        <v>91</v>
      </c>
      <c r="B93" s="2" t="n">
        <v>0</v>
      </c>
      <c r="C93" s="2" t="n">
        <v>91</v>
      </c>
      <c r="D93" s="2" t="s">
        <v>33</v>
      </c>
      <c r="E93" s="2" t="n">
        <v>0</v>
      </c>
      <c r="F93" s="2" t="n">
        <v>1.38372500054538</v>
      </c>
      <c r="H93" s="2" t="n">
        <v>0</v>
      </c>
      <c r="I93" s="2" t="n">
        <v>91</v>
      </c>
      <c r="J93" s="2" t="n">
        <v>0</v>
      </c>
      <c r="K93" s="2" t="n">
        <v>91</v>
      </c>
      <c r="L93" s="2" t="n">
        <v>0</v>
      </c>
      <c r="M93" s="2" t="n">
        <v>155.354375900701</v>
      </c>
      <c r="P93" s="2" t="n">
        <v>155.348045100458</v>
      </c>
      <c r="Q93" s="2" t="n">
        <v>155.354375900701</v>
      </c>
      <c r="R93" s="2" t="n">
        <v>156.345913400874</v>
      </c>
      <c r="S93" s="2" t="n">
        <v>156.345913400874</v>
      </c>
      <c r="T93" s="2" t="n">
        <v>157.731055400334</v>
      </c>
      <c r="U93" s="2" t="s">
        <v>33</v>
      </c>
      <c r="V93" s="2" t="n">
        <v>0</v>
      </c>
      <c r="W93" s="2" t="n">
        <v>1.38372500054538</v>
      </c>
      <c r="Y93" s="2" t="n">
        <v>0</v>
      </c>
      <c r="Z93" s="2" t="n">
        <v>176374</v>
      </c>
      <c r="AA93" s="2" t="n">
        <v>1</v>
      </c>
      <c r="AB93" s="2" t="s">
        <v>34</v>
      </c>
      <c r="AC93" s="2" t="s">
        <v>35</v>
      </c>
      <c r="AE93" s="2" t="s">
        <v>36</v>
      </c>
      <c r="AF93" s="2" t="n">
        <v>119.92133056139</v>
      </c>
      <c r="AG93" s="2" t="s">
        <v>37</v>
      </c>
    </row>
    <row r="94" customFormat="false" ht="15" hidden="false" customHeight="false" outlineLevel="0" collapsed="false">
      <c r="A94" s="2" t="n">
        <v>92</v>
      </c>
      <c r="B94" s="2" t="n">
        <v>0</v>
      </c>
      <c r="C94" s="2" t="n">
        <v>92</v>
      </c>
      <c r="D94" s="2" t="s">
        <v>33</v>
      </c>
      <c r="E94" s="2" t="n">
        <v>1</v>
      </c>
      <c r="F94" s="2" t="n">
        <v>0.650268699973822</v>
      </c>
      <c r="H94" s="2" t="n">
        <v>0</v>
      </c>
      <c r="I94" s="2" t="n">
        <v>92</v>
      </c>
      <c r="J94" s="2" t="n">
        <v>0</v>
      </c>
      <c r="K94" s="2" t="n">
        <v>92</v>
      </c>
      <c r="L94" s="2" t="n">
        <v>0</v>
      </c>
      <c r="M94" s="2" t="n">
        <v>157.738292600028</v>
      </c>
      <c r="P94" s="2" t="n">
        <v>157.731462400407</v>
      </c>
      <c r="Q94" s="2" t="n">
        <v>157.738292600028</v>
      </c>
      <c r="R94" s="2" t="n">
        <v>158.729739400558</v>
      </c>
      <c r="S94" s="2" t="n">
        <v>158.729739400558</v>
      </c>
      <c r="T94" s="2" t="n">
        <v>159.388147200458</v>
      </c>
      <c r="U94" s="2" t="s">
        <v>33</v>
      </c>
      <c r="V94" s="2" t="n">
        <v>1</v>
      </c>
      <c r="W94" s="2" t="n">
        <v>0.650268699973822</v>
      </c>
      <c r="Y94" s="2" t="n">
        <v>0</v>
      </c>
      <c r="Z94" s="2" t="n">
        <v>176374</v>
      </c>
      <c r="AA94" s="2" t="n">
        <v>1</v>
      </c>
      <c r="AB94" s="2" t="s">
        <v>34</v>
      </c>
      <c r="AC94" s="2" t="s">
        <v>35</v>
      </c>
      <c r="AE94" s="2" t="s">
        <v>36</v>
      </c>
      <c r="AF94" s="2" t="n">
        <v>119.92133056139</v>
      </c>
      <c r="AG94" s="2" t="s">
        <v>37</v>
      </c>
    </row>
    <row r="95" customFormat="false" ht="15" hidden="false" customHeight="false" outlineLevel="0" collapsed="false">
      <c r="A95" s="2" t="n">
        <v>93</v>
      </c>
      <c r="B95" s="2" t="n">
        <v>0</v>
      </c>
      <c r="C95" s="2" t="n">
        <v>93</v>
      </c>
      <c r="D95" s="2" t="s">
        <v>33</v>
      </c>
      <c r="E95" s="2" t="n">
        <v>0</v>
      </c>
      <c r="F95" s="2" t="n">
        <v>4.73071740008891</v>
      </c>
      <c r="H95" s="2" t="n">
        <v>-3</v>
      </c>
      <c r="I95" s="2" t="n">
        <v>93</v>
      </c>
      <c r="J95" s="2" t="n">
        <v>0</v>
      </c>
      <c r="K95" s="2" t="n">
        <v>93</v>
      </c>
      <c r="L95" s="2" t="n">
        <v>0</v>
      </c>
      <c r="M95" s="2" t="n">
        <v>159.395943500102</v>
      </c>
      <c r="P95" s="2" t="n">
        <v>159.388616500422</v>
      </c>
      <c r="Q95" s="2" t="n">
        <v>159.395943500102</v>
      </c>
      <c r="R95" s="2" t="n">
        <v>160.379439400509</v>
      </c>
      <c r="S95" s="2" t="n">
        <v>160.387753000483</v>
      </c>
      <c r="T95" s="2" t="n">
        <v>165.113141000271</v>
      </c>
      <c r="U95" s="2" t="s">
        <v>33</v>
      </c>
      <c r="V95" s="2" t="n">
        <v>0</v>
      </c>
      <c r="W95" s="2" t="n">
        <v>4.73071740008891</v>
      </c>
      <c r="Y95" s="2" t="n">
        <v>-3</v>
      </c>
      <c r="Z95" s="2" t="n">
        <v>176374</v>
      </c>
      <c r="AA95" s="2" t="n">
        <v>1</v>
      </c>
      <c r="AB95" s="2" t="s">
        <v>34</v>
      </c>
      <c r="AC95" s="2" t="s">
        <v>35</v>
      </c>
      <c r="AE95" s="2" t="s">
        <v>36</v>
      </c>
      <c r="AF95" s="2" t="n">
        <v>119.92133056139</v>
      </c>
      <c r="AG95" s="2" t="s">
        <v>37</v>
      </c>
    </row>
    <row r="96" customFormat="false" ht="15" hidden="false" customHeight="false" outlineLevel="0" collapsed="false">
      <c r="A96" s="2" t="n">
        <v>94</v>
      </c>
      <c r="B96" s="2" t="n">
        <v>0</v>
      </c>
      <c r="C96" s="2" t="n">
        <v>94</v>
      </c>
      <c r="D96" s="2" t="s">
        <v>38</v>
      </c>
      <c r="E96" s="2" t="n">
        <v>1</v>
      </c>
      <c r="F96" s="2" t="n">
        <v>0.878984400071204</v>
      </c>
      <c r="H96" s="2" t="n">
        <v>-5</v>
      </c>
      <c r="I96" s="2" t="n">
        <v>94</v>
      </c>
      <c r="J96" s="2" t="n">
        <v>0</v>
      </c>
      <c r="K96" s="2" t="n">
        <v>94</v>
      </c>
      <c r="L96" s="2" t="n">
        <v>0</v>
      </c>
      <c r="M96" s="2" t="n">
        <v>165.12100020051</v>
      </c>
      <c r="P96" s="2" t="n">
        <v>165.113591200672</v>
      </c>
      <c r="Q96" s="2" t="n">
        <v>165.12100020051</v>
      </c>
      <c r="R96" s="2" t="n">
        <v>166.104756900109</v>
      </c>
      <c r="S96" s="2" t="n">
        <v>166.114046500064</v>
      </c>
      <c r="T96" s="2" t="n">
        <v>166.988483500667</v>
      </c>
      <c r="U96" s="2" t="s">
        <v>38</v>
      </c>
      <c r="V96" s="2" t="n">
        <v>1</v>
      </c>
      <c r="W96" s="2" t="n">
        <v>0.878984400071204</v>
      </c>
      <c r="Y96" s="2" t="n">
        <v>-5</v>
      </c>
      <c r="Z96" s="2" t="n">
        <v>176374</v>
      </c>
      <c r="AA96" s="2" t="n">
        <v>1</v>
      </c>
      <c r="AB96" s="2" t="s">
        <v>34</v>
      </c>
      <c r="AC96" s="2" t="s">
        <v>35</v>
      </c>
      <c r="AE96" s="2" t="s">
        <v>36</v>
      </c>
      <c r="AF96" s="2" t="n">
        <v>119.92133056139</v>
      </c>
      <c r="AG96" s="2" t="s">
        <v>37</v>
      </c>
    </row>
    <row r="97" customFormat="false" ht="15" hidden="false" customHeight="false" outlineLevel="0" collapsed="false">
      <c r="A97" s="2" t="n">
        <v>95</v>
      </c>
      <c r="B97" s="2" t="n">
        <v>0</v>
      </c>
      <c r="C97" s="2" t="n">
        <v>95</v>
      </c>
      <c r="D97" s="2" t="s">
        <v>33</v>
      </c>
      <c r="E97" s="2" t="n">
        <v>1</v>
      </c>
      <c r="F97" s="2" t="n">
        <v>0.546734699979425</v>
      </c>
      <c r="H97" s="2" t="n">
        <v>0</v>
      </c>
      <c r="I97" s="2" t="n">
        <v>95</v>
      </c>
      <c r="J97" s="2" t="n">
        <v>0</v>
      </c>
      <c r="K97" s="2" t="n">
        <v>95</v>
      </c>
      <c r="L97" s="2" t="n">
        <v>0</v>
      </c>
      <c r="M97" s="2" t="n">
        <v>166.99573160056</v>
      </c>
      <c r="P97" s="2" t="n">
        <v>166.988871600479</v>
      </c>
      <c r="Q97" s="2" t="n">
        <v>166.99573160056</v>
      </c>
      <c r="R97" s="2" t="n">
        <v>167.98776190076</v>
      </c>
      <c r="S97" s="2" t="n">
        <v>167.98776190076</v>
      </c>
      <c r="T97" s="2" t="n">
        <v>168.538570100442</v>
      </c>
      <c r="U97" s="2" t="s">
        <v>33</v>
      </c>
      <c r="V97" s="2" t="n">
        <v>1</v>
      </c>
      <c r="W97" s="2" t="n">
        <v>0.546734699979425</v>
      </c>
      <c r="Y97" s="2" t="n">
        <v>0</v>
      </c>
      <c r="Z97" s="2" t="n">
        <v>176374</v>
      </c>
      <c r="AA97" s="2" t="n">
        <v>1</v>
      </c>
      <c r="AB97" s="2" t="s">
        <v>34</v>
      </c>
      <c r="AC97" s="2" t="s">
        <v>35</v>
      </c>
      <c r="AE97" s="2" t="s">
        <v>36</v>
      </c>
      <c r="AF97" s="2" t="n">
        <v>119.92133056139</v>
      </c>
      <c r="AG97" s="2" t="s">
        <v>37</v>
      </c>
    </row>
    <row r="98" customFormat="false" ht="15" hidden="false" customHeight="false" outlineLevel="0" collapsed="false">
      <c r="A98" s="2" t="n">
        <v>96</v>
      </c>
      <c r="B98" s="2" t="n">
        <v>0</v>
      </c>
      <c r="C98" s="2" t="n">
        <v>96</v>
      </c>
      <c r="D98" s="2" t="s">
        <v>38</v>
      </c>
      <c r="E98" s="2" t="n">
        <v>1</v>
      </c>
      <c r="F98" s="2" t="n">
        <v>1.04509420040995</v>
      </c>
      <c r="H98" s="2" t="n">
        <v>4</v>
      </c>
      <c r="I98" s="2" t="n">
        <v>96</v>
      </c>
      <c r="J98" s="2" t="n">
        <v>0</v>
      </c>
      <c r="K98" s="2" t="n">
        <v>96</v>
      </c>
      <c r="L98" s="2" t="n">
        <v>0</v>
      </c>
      <c r="M98" s="2" t="n">
        <v>168.545750400052</v>
      </c>
      <c r="P98" s="2" t="n">
        <v>168.539085200056</v>
      </c>
      <c r="Q98" s="2" t="n">
        <v>168.545750400052</v>
      </c>
      <c r="R98" s="2" t="n">
        <v>169.537818600424</v>
      </c>
      <c r="S98" s="2" t="n">
        <v>169.537818600424</v>
      </c>
      <c r="T98" s="2" t="n">
        <v>170.588351600803</v>
      </c>
      <c r="U98" s="2" t="s">
        <v>38</v>
      </c>
      <c r="V98" s="2" t="n">
        <v>1</v>
      </c>
      <c r="W98" s="2" t="n">
        <v>1.04509420040995</v>
      </c>
      <c r="Y98" s="2" t="n">
        <v>4</v>
      </c>
      <c r="Z98" s="2" t="n">
        <v>176374</v>
      </c>
      <c r="AA98" s="2" t="n">
        <v>1</v>
      </c>
      <c r="AB98" s="2" t="s">
        <v>34</v>
      </c>
      <c r="AC98" s="2" t="s">
        <v>35</v>
      </c>
      <c r="AE98" s="2" t="s">
        <v>36</v>
      </c>
      <c r="AF98" s="2" t="n">
        <v>119.92133056139</v>
      </c>
      <c r="AG98" s="2" t="s">
        <v>37</v>
      </c>
    </row>
    <row r="99" customFormat="false" ht="15" hidden="false" customHeight="false" outlineLevel="0" collapsed="false">
      <c r="A99" s="2" t="n">
        <v>97</v>
      </c>
      <c r="B99" s="2" t="n">
        <v>0</v>
      </c>
      <c r="C99" s="2" t="n">
        <v>97</v>
      </c>
      <c r="D99" s="2" t="s">
        <v>33</v>
      </c>
      <c r="E99" s="2" t="n">
        <v>0</v>
      </c>
      <c r="F99" s="2" t="n">
        <v>0.822696099989116</v>
      </c>
      <c r="H99" s="2" t="n">
        <v>-3</v>
      </c>
      <c r="I99" s="2" t="n">
        <v>97</v>
      </c>
      <c r="J99" s="2" t="n">
        <v>0</v>
      </c>
      <c r="K99" s="2" t="n">
        <v>97</v>
      </c>
      <c r="L99" s="2" t="n">
        <v>0</v>
      </c>
      <c r="M99" s="2" t="n">
        <v>170.595647100359</v>
      </c>
      <c r="P99" s="2" t="n">
        <v>170.588916800916</v>
      </c>
      <c r="Q99" s="2" t="n">
        <v>170.595647100359</v>
      </c>
      <c r="R99" s="2" t="n">
        <v>171.587551400065</v>
      </c>
      <c r="S99" s="2" t="n">
        <v>171.587551400065</v>
      </c>
      <c r="T99" s="2" t="n">
        <v>172.412567000836</v>
      </c>
      <c r="U99" s="2" t="s">
        <v>33</v>
      </c>
      <c r="V99" s="2" t="n">
        <v>0</v>
      </c>
      <c r="W99" s="2" t="n">
        <v>0.822696099989116</v>
      </c>
      <c r="Y99" s="2" t="n">
        <v>-3</v>
      </c>
      <c r="Z99" s="2" t="n">
        <v>176374</v>
      </c>
      <c r="AA99" s="2" t="n">
        <v>1</v>
      </c>
      <c r="AB99" s="2" t="s">
        <v>34</v>
      </c>
      <c r="AC99" s="2" t="s">
        <v>35</v>
      </c>
      <c r="AE99" s="2" t="s">
        <v>36</v>
      </c>
      <c r="AF99" s="2" t="n">
        <v>119.92133056139</v>
      </c>
      <c r="AG99" s="2" t="s">
        <v>37</v>
      </c>
    </row>
    <row r="100" customFormat="false" ht="15" hidden="false" customHeight="false" outlineLevel="0" collapsed="false">
      <c r="A100" s="2" t="n">
        <v>98</v>
      </c>
      <c r="B100" s="2" t="n">
        <v>0</v>
      </c>
      <c r="C100" s="2" t="n">
        <v>98</v>
      </c>
      <c r="D100" s="2" t="s">
        <v>38</v>
      </c>
      <c r="E100" s="2" t="n">
        <v>0</v>
      </c>
      <c r="F100" s="2" t="n">
        <v>0.652635999955237</v>
      </c>
      <c r="H100" s="2" t="n">
        <v>0</v>
      </c>
      <c r="I100" s="2" t="n">
        <v>98</v>
      </c>
      <c r="J100" s="2" t="n">
        <v>0</v>
      </c>
      <c r="K100" s="2" t="n">
        <v>98</v>
      </c>
      <c r="L100" s="2" t="n">
        <v>0</v>
      </c>
      <c r="M100" s="2" t="n">
        <v>172.420868800022</v>
      </c>
      <c r="P100" s="2" t="n">
        <v>172.412827500142</v>
      </c>
      <c r="Q100" s="2" t="n">
        <v>172.420868800022</v>
      </c>
      <c r="R100" s="2" t="n">
        <v>173.404318400659</v>
      </c>
      <c r="S100" s="2" t="n">
        <v>173.412522800267</v>
      </c>
      <c r="T100" s="2" t="n">
        <v>174.063250500709</v>
      </c>
      <c r="U100" s="2" t="s">
        <v>38</v>
      </c>
      <c r="V100" s="2" t="n">
        <v>0</v>
      </c>
      <c r="W100" s="2" t="n">
        <v>0.652635999955237</v>
      </c>
      <c r="Y100" s="2" t="n">
        <v>0</v>
      </c>
      <c r="Z100" s="2" t="n">
        <v>176374</v>
      </c>
      <c r="AA100" s="2" t="n">
        <v>1</v>
      </c>
      <c r="AB100" s="2" t="s">
        <v>34</v>
      </c>
      <c r="AC100" s="2" t="s">
        <v>35</v>
      </c>
      <c r="AE100" s="2" t="s">
        <v>36</v>
      </c>
      <c r="AF100" s="2" t="n">
        <v>119.92133056139</v>
      </c>
      <c r="AG100" s="2" t="s">
        <v>37</v>
      </c>
    </row>
    <row r="101" customFormat="false" ht="15" hidden="false" customHeight="false" outlineLevel="0" collapsed="false">
      <c r="A101" s="2" t="n">
        <v>99</v>
      </c>
      <c r="B101" s="2" t="n">
        <v>0</v>
      </c>
      <c r="C101" s="2" t="n">
        <v>99</v>
      </c>
      <c r="D101" s="2" t="s">
        <v>33</v>
      </c>
      <c r="E101" s="2" t="n">
        <v>0</v>
      </c>
      <c r="F101" s="2" t="n">
        <v>0.443331599235535</v>
      </c>
      <c r="H101" s="2" t="n">
        <v>-4</v>
      </c>
      <c r="I101" s="2" t="n">
        <v>99</v>
      </c>
      <c r="J101" s="2" t="n">
        <v>0</v>
      </c>
      <c r="K101" s="2" t="n">
        <v>99</v>
      </c>
      <c r="L101" s="2" t="n">
        <v>0</v>
      </c>
      <c r="M101" s="2" t="n">
        <v>174.070345700719</v>
      </c>
      <c r="P101" s="2" t="n">
        <v>174.063734400086</v>
      </c>
      <c r="Q101" s="2" t="n">
        <v>174.070345700719</v>
      </c>
      <c r="R101" s="2" t="n">
        <v>175.06254030019</v>
      </c>
      <c r="S101" s="2" t="n">
        <v>175.06254030019</v>
      </c>
      <c r="T101" s="2" t="n">
        <v>175.513228800148</v>
      </c>
      <c r="U101" s="2" t="s">
        <v>33</v>
      </c>
      <c r="V101" s="2" t="n">
        <v>0</v>
      </c>
      <c r="W101" s="2" t="n">
        <v>0.443331599235535</v>
      </c>
      <c r="Y101" s="2" t="n">
        <v>-4</v>
      </c>
      <c r="Z101" s="2" t="n">
        <v>176374</v>
      </c>
      <c r="AA101" s="2" t="n">
        <v>1</v>
      </c>
      <c r="AB101" s="2" t="s">
        <v>34</v>
      </c>
      <c r="AC101" s="2" t="s">
        <v>35</v>
      </c>
      <c r="AE101" s="2" t="s">
        <v>36</v>
      </c>
      <c r="AF101" s="2" t="n">
        <v>119.92133056139</v>
      </c>
      <c r="AG101" s="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7" min="5" style="0" width="16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3"/>
    <col collapsed="false" customWidth="true" hidden="false" outlineLevel="0" max="11" min="11" style="0" width="64"/>
    <col collapsed="false" customWidth="true" hidden="false" outlineLevel="0" max="13" min="12" style="0" width="14"/>
    <col collapsed="false" customWidth="true" hidden="false" outlineLevel="0" max="14" min="14" style="0" width="12"/>
  </cols>
  <sheetData>
    <row r="1" customFormat="false" ht="16.15" hidden="false" customHeight="false" outlineLevel="0" collapsed="false">
      <c r="A1" s="4" t="s">
        <v>39</v>
      </c>
    </row>
    <row r="2" customFormat="false" ht="15" hidden="false" customHeight="false" outlineLevel="0" collapsed="false">
      <c r="A2" s="5" t="s">
        <v>40</v>
      </c>
    </row>
    <row r="3" customFormat="false" ht="48" hidden="false" customHeight="true" outlineLevel="0" collapsed="false">
      <c r="A3" s="6" t="s">
        <v>41</v>
      </c>
      <c r="B3" s="6" t="s">
        <v>42</v>
      </c>
      <c r="C3" s="6" t="s">
        <v>43</v>
      </c>
      <c r="D3" s="6" t="s">
        <v>44</v>
      </c>
      <c r="E3" s="6" t="s">
        <v>45</v>
      </c>
      <c r="F3" s="6" t="s">
        <v>46</v>
      </c>
      <c r="G3" s="6" t="s">
        <v>47</v>
      </c>
      <c r="H3" s="6" t="s">
        <v>48</v>
      </c>
      <c r="I3" s="6" t="s">
        <v>49</v>
      </c>
      <c r="K3" s="7" t="s">
        <v>50</v>
      </c>
      <c r="L3" s="7" t="s">
        <v>51</v>
      </c>
    </row>
    <row r="4" customFormat="false" ht="15" hidden="false" customHeight="false" outlineLevel="0" collapsed="false">
      <c r="A4" s="8" t="n">
        <f aca="false">Data!A2+1</f>
        <v>1</v>
      </c>
      <c r="B4" s="8" t="n">
        <f aca="false">Data!H2</f>
        <v>0</v>
      </c>
      <c r="C4" s="9" t="n">
        <f aca="false">ABS(B4)</f>
        <v>0</v>
      </c>
      <c r="D4" s="8" t="str">
        <f aca="false">Data!D2</f>
        <v>up</v>
      </c>
      <c r="E4" s="9" t="n">
        <f aca="false">IF(D4="down",1,0)</f>
        <v>0</v>
      </c>
      <c r="F4" s="8" t="n">
        <f aca="false">Data!E2</f>
        <v>1</v>
      </c>
      <c r="G4" s="9" t="n">
        <f aca="false">IF(B4=0,1-E4,E4)</f>
        <v>1</v>
      </c>
      <c r="H4" s="9" t="str">
        <f aca="false">IF(B4&lt;&gt;0,IF(E4=1,"Hit","Miss"),IF(E4=1,"False alarm","Correct rejection"))</f>
        <v>Correct rejection</v>
      </c>
      <c r="I4" s="9" t="str">
        <f aca="false">IF(F4=G4,"","mismatch")</f>
        <v/>
      </c>
      <c r="K4" s="2" t="s">
        <v>52</v>
      </c>
      <c r="L4" s="10" t="n">
        <f aca="false">COUNTIF(B4:B103,"&lt;&gt;0")</f>
        <v>44</v>
      </c>
    </row>
    <row r="5" customFormat="false" ht="15" hidden="false" customHeight="false" outlineLevel="0" collapsed="false">
      <c r="A5" s="8" t="n">
        <f aca="false">Data!A3+1</f>
        <v>2</v>
      </c>
      <c r="B5" s="8" t="n">
        <f aca="false">Data!H3</f>
        <v>0</v>
      </c>
      <c r="C5" s="9" t="n">
        <f aca="false">ABS(B5)</f>
        <v>0</v>
      </c>
      <c r="D5" s="8" t="str">
        <f aca="false">Data!D3</f>
        <v>up</v>
      </c>
      <c r="E5" s="9" t="n">
        <f aca="false">IF(D5="down",1,0)</f>
        <v>0</v>
      </c>
      <c r="F5" s="8" t="n">
        <f aca="false">Data!E3</f>
        <v>1</v>
      </c>
      <c r="G5" s="9" t="n">
        <f aca="false">IF(B5=0,1-E5,E5)</f>
        <v>1</v>
      </c>
      <c r="H5" s="9" t="str">
        <f aca="false">IF(B5&lt;&gt;0,IF(E5=1,"Hit","Miss"),IF(E5=1,"False alarm","Correct rejection"))</f>
        <v>Correct rejection</v>
      </c>
      <c r="I5" s="9" t="str">
        <f aca="false">IF(F5=G5,"","mismatch")</f>
        <v/>
      </c>
      <c r="K5" s="2" t="s">
        <v>53</v>
      </c>
      <c r="L5" s="10" t="n">
        <f aca="false">COUNTIF(B4:B103,0)</f>
        <v>56</v>
      </c>
    </row>
    <row r="6" customFormat="false" ht="15" hidden="false" customHeight="false" outlineLevel="0" collapsed="false">
      <c r="A6" s="8" t="n">
        <f aca="false">Data!A4+1</f>
        <v>3</v>
      </c>
      <c r="B6" s="8" t="n">
        <f aca="false">Data!H4</f>
        <v>0</v>
      </c>
      <c r="C6" s="9" t="n">
        <f aca="false">ABS(B6)</f>
        <v>0</v>
      </c>
      <c r="D6" s="8" t="str">
        <f aca="false">Data!D4</f>
        <v>up</v>
      </c>
      <c r="E6" s="9" t="n">
        <f aca="false">IF(D6="down",1,0)</f>
        <v>0</v>
      </c>
      <c r="F6" s="8" t="n">
        <f aca="false">Data!E4</f>
        <v>1</v>
      </c>
      <c r="G6" s="9" t="n">
        <f aca="false">IF(B6=0,1-E6,E6)</f>
        <v>1</v>
      </c>
      <c r="H6" s="9" t="str">
        <f aca="false">IF(B6&lt;&gt;0,IF(E6=1,"Hit","Miss"),IF(E6=1,"False alarm","Correct rejection"))</f>
        <v>Correct rejection</v>
      </c>
      <c r="I6" s="9" t="str">
        <f aca="false">IF(F6=G6,"","mismatch")</f>
        <v/>
      </c>
      <c r="K6" s="2" t="s">
        <v>54</v>
      </c>
      <c r="L6" s="10" t="n">
        <f aca="false">COUNTIF(H4:H103,"Hit")</f>
        <v>22</v>
      </c>
    </row>
    <row r="7" customFormat="false" ht="15" hidden="false" customHeight="false" outlineLevel="0" collapsed="false">
      <c r="A7" s="8" t="n">
        <f aca="false">Data!A5+1</f>
        <v>4</v>
      </c>
      <c r="B7" s="8" t="n">
        <f aca="false">Data!H5</f>
        <v>1</v>
      </c>
      <c r="C7" s="9" t="n">
        <f aca="false">ABS(B7)</f>
        <v>1</v>
      </c>
      <c r="D7" s="8" t="str">
        <f aca="false">Data!D5</f>
        <v>up</v>
      </c>
      <c r="E7" s="9" t="n">
        <f aca="false">IF(D7="down",1,0)</f>
        <v>0</v>
      </c>
      <c r="F7" s="8" t="n">
        <f aca="false">Data!E5</f>
        <v>0</v>
      </c>
      <c r="G7" s="9" t="n">
        <f aca="false">IF(B7=0,1-E7,E7)</f>
        <v>0</v>
      </c>
      <c r="H7" s="9" t="str">
        <f aca="false">IF(B7&lt;&gt;0,IF(E7=1,"Hit","Miss"),IF(E7=1,"False alarm","Correct rejection"))</f>
        <v>Miss</v>
      </c>
      <c r="I7" s="9" t="str">
        <f aca="false">IF(F7=G7,"","mismatch")</f>
        <v/>
      </c>
      <c r="K7" s="2" t="s">
        <v>55</v>
      </c>
      <c r="L7" s="10" t="n">
        <f aca="false">COUNTIF(H4:H103,"Miss")</f>
        <v>22</v>
      </c>
    </row>
    <row r="8" customFormat="false" ht="15" hidden="false" customHeight="false" outlineLevel="0" collapsed="false">
      <c r="A8" s="8" t="n">
        <f aca="false">Data!A6+1</f>
        <v>5</v>
      </c>
      <c r="B8" s="8" t="n">
        <f aca="false">Data!H6</f>
        <v>4</v>
      </c>
      <c r="C8" s="9" t="n">
        <f aca="false">ABS(B8)</f>
        <v>4</v>
      </c>
      <c r="D8" s="8" t="str">
        <f aca="false">Data!D6</f>
        <v>down</v>
      </c>
      <c r="E8" s="9" t="n">
        <f aca="false">IF(D8="down",1,0)</f>
        <v>1</v>
      </c>
      <c r="F8" s="8" t="n">
        <f aca="false">Data!E6</f>
        <v>1</v>
      </c>
      <c r="G8" s="9" t="n">
        <f aca="false">IF(B8=0,1-E8,E8)</f>
        <v>1</v>
      </c>
      <c r="H8" s="9" t="str">
        <f aca="false">IF(B8&lt;&gt;0,IF(E8=1,"Hit","Miss"),IF(E8=1,"False alarm","Correct rejection"))</f>
        <v>Hit</v>
      </c>
      <c r="I8" s="9" t="str">
        <f aca="false">IF(F8=G8,"","mismatch")</f>
        <v/>
      </c>
      <c r="K8" s="2" t="s">
        <v>56</v>
      </c>
      <c r="L8" s="10" t="n">
        <f aca="false">COUNTIF(H4:H103,"False alarm")</f>
        <v>2</v>
      </c>
    </row>
    <row r="9" customFormat="false" ht="15" hidden="false" customHeight="false" outlineLevel="0" collapsed="false">
      <c r="A9" s="8" t="n">
        <f aca="false">Data!A7+1</f>
        <v>6</v>
      </c>
      <c r="B9" s="8" t="n">
        <f aca="false">Data!H7</f>
        <v>-1</v>
      </c>
      <c r="C9" s="9" t="n">
        <f aca="false">ABS(B9)</f>
        <v>1</v>
      </c>
      <c r="D9" s="8" t="str">
        <f aca="false">Data!D7</f>
        <v>up</v>
      </c>
      <c r="E9" s="9" t="n">
        <f aca="false">IF(D9="down",1,0)</f>
        <v>0</v>
      </c>
      <c r="F9" s="8" t="n">
        <f aca="false">Data!E7</f>
        <v>0</v>
      </c>
      <c r="G9" s="9" t="n">
        <f aca="false">IF(B9=0,1-E9,E9)</f>
        <v>0</v>
      </c>
      <c r="H9" s="9" t="str">
        <f aca="false">IF(B9&lt;&gt;0,IF(E9=1,"Hit","Miss"),IF(E9=1,"False alarm","Correct rejection"))</f>
        <v>Miss</v>
      </c>
      <c r="I9" s="9" t="str">
        <f aca="false">IF(F9=G9,"","mismatch")</f>
        <v/>
      </c>
      <c r="K9" s="2" t="s">
        <v>57</v>
      </c>
      <c r="L9" s="10" t="n">
        <f aca="false">COUNTIF(H4:H103,"Correct rejection")</f>
        <v>54</v>
      </c>
    </row>
    <row r="10" customFormat="false" ht="15" hidden="false" customHeight="false" outlineLevel="0" collapsed="false">
      <c r="A10" s="8" t="n">
        <f aca="false">Data!A8+1</f>
        <v>7</v>
      </c>
      <c r="B10" s="8" t="n">
        <f aca="false">Data!H8</f>
        <v>-4</v>
      </c>
      <c r="C10" s="9" t="n">
        <f aca="false">ABS(B10)</f>
        <v>4</v>
      </c>
      <c r="D10" s="8" t="str">
        <f aca="false">Data!D8</f>
        <v>up</v>
      </c>
      <c r="E10" s="9" t="n">
        <f aca="false">IF(D10="down",1,0)</f>
        <v>0</v>
      </c>
      <c r="F10" s="8" t="n">
        <f aca="false">Data!E8</f>
        <v>0</v>
      </c>
      <c r="G10" s="9" t="n">
        <f aca="false">IF(B10=0,1-E10,E10)</f>
        <v>0</v>
      </c>
      <c r="H10" s="9" t="str">
        <f aca="false">IF(B10&lt;&gt;0,IF(E10=1,"Hit","Miss"),IF(E10=1,"False alarm","Correct rejection"))</f>
        <v>Miss</v>
      </c>
      <c r="I10" s="9" t="str">
        <f aca="false">IF(F10=G10,"","mismatch")</f>
        <v/>
      </c>
      <c r="K10" s="2" t="s">
        <v>58</v>
      </c>
      <c r="L10" s="11" t="n">
        <f aca="false">L6/L4</f>
        <v>0.5</v>
      </c>
    </row>
    <row r="11" customFormat="false" ht="15" hidden="false" customHeight="false" outlineLevel="0" collapsed="false">
      <c r="A11" s="8" t="n">
        <f aca="false">Data!A9+1</f>
        <v>8</v>
      </c>
      <c r="B11" s="8" t="n">
        <f aca="false">Data!H9</f>
        <v>0</v>
      </c>
      <c r="C11" s="9" t="n">
        <f aca="false">ABS(B11)</f>
        <v>0</v>
      </c>
      <c r="D11" s="8" t="str">
        <f aca="false">Data!D9</f>
        <v>down</v>
      </c>
      <c r="E11" s="9" t="n">
        <f aca="false">IF(D11="down",1,0)</f>
        <v>1</v>
      </c>
      <c r="F11" s="8" t="n">
        <f aca="false">Data!E9</f>
        <v>0</v>
      </c>
      <c r="G11" s="9" t="n">
        <f aca="false">IF(B11=0,1-E11,E11)</f>
        <v>0</v>
      </c>
      <c r="H11" s="9" t="str">
        <f aca="false">IF(B11&lt;&gt;0,IF(E11=1,"Hit","Miss"),IF(E11=1,"False alarm","Correct rejection"))</f>
        <v>False alarm</v>
      </c>
      <c r="I11" s="9" t="str">
        <f aca="false">IF(F11=G11,"","mismatch")</f>
        <v/>
      </c>
      <c r="K11" s="2" t="s">
        <v>59</v>
      </c>
      <c r="L11" s="11" t="n">
        <f aca="false">L8/L5</f>
        <v>0.0357142857142857</v>
      </c>
    </row>
    <row r="12" customFormat="false" ht="15" hidden="false" customHeight="false" outlineLevel="0" collapsed="false">
      <c r="A12" s="8" t="n">
        <f aca="false">Data!A10+1</f>
        <v>9</v>
      </c>
      <c r="B12" s="8" t="n">
        <f aca="false">Data!H10</f>
        <v>0</v>
      </c>
      <c r="C12" s="9" t="n">
        <f aca="false">ABS(B12)</f>
        <v>0</v>
      </c>
      <c r="D12" s="8" t="str">
        <f aca="false">Data!D10</f>
        <v>up</v>
      </c>
      <c r="E12" s="9" t="n">
        <f aca="false">IF(D12="down",1,0)</f>
        <v>0</v>
      </c>
      <c r="F12" s="8" t="n">
        <f aca="false">Data!E10</f>
        <v>1</v>
      </c>
      <c r="G12" s="9" t="n">
        <f aca="false">IF(B12=0,1-E12,E12)</f>
        <v>1</v>
      </c>
      <c r="H12" s="9" t="str">
        <f aca="false">IF(B12&lt;&gt;0,IF(E12=1,"Hit","Miss"),IF(E12=1,"False alarm","Correct rejection"))</f>
        <v>Correct rejection</v>
      </c>
      <c r="I12" s="9" t="str">
        <f aca="false">IF(F12=G12,"","mismatch")</f>
        <v/>
      </c>
      <c r="K12" s="12" t="s">
        <v>60</v>
      </c>
      <c r="L12" s="13" t="n">
        <f aca="false">NORMSINV(L10)-NORMSINV(L11)</f>
        <v>1.80274309073919</v>
      </c>
    </row>
    <row r="13" customFormat="false" ht="15" hidden="false" customHeight="false" outlineLevel="0" collapsed="false">
      <c r="A13" s="8" t="n">
        <f aca="false">Data!A11+1</f>
        <v>10</v>
      </c>
      <c r="B13" s="8" t="n">
        <f aca="false">Data!H11</f>
        <v>1</v>
      </c>
      <c r="C13" s="9" t="n">
        <f aca="false">ABS(B13)</f>
        <v>1</v>
      </c>
      <c r="D13" s="8" t="str">
        <f aca="false">Data!D11</f>
        <v>down</v>
      </c>
      <c r="E13" s="9" t="n">
        <f aca="false">IF(D13="down",1,0)</f>
        <v>1</v>
      </c>
      <c r="F13" s="8" t="n">
        <f aca="false">Data!E11</f>
        <v>1</v>
      </c>
      <c r="G13" s="9" t="n">
        <f aca="false">IF(B13=0,1-E13,E13)</f>
        <v>1</v>
      </c>
      <c r="H13" s="9" t="str">
        <f aca="false">IF(B13&lt;&gt;0,IF(E13=1,"Hit","Miss"),IF(E13=1,"False alarm","Correct rejection"))</f>
        <v>Hit</v>
      </c>
      <c r="I13" s="9" t="str">
        <f aca="false">IF(F13=G13,"","mismatch")</f>
        <v/>
      </c>
      <c r="K13" s="12" t="s">
        <v>61</v>
      </c>
      <c r="L13" s="13" t="n">
        <f aca="false">-0.5*(NORMSINV(L10)+NORMSINV(L11))</f>
        <v>0.901371545369595</v>
      </c>
    </row>
    <row r="14" customFormat="false" ht="15" hidden="false" customHeight="false" outlineLevel="0" collapsed="false">
      <c r="A14" s="8" t="n">
        <f aca="false">Data!A12+1</f>
        <v>11</v>
      </c>
      <c r="B14" s="8" t="n">
        <f aca="false">Data!H12</f>
        <v>-2</v>
      </c>
      <c r="C14" s="9" t="n">
        <f aca="false">ABS(B14)</f>
        <v>2</v>
      </c>
      <c r="D14" s="8" t="str">
        <f aca="false">Data!D12</f>
        <v>up</v>
      </c>
      <c r="E14" s="9" t="n">
        <f aca="false">IF(D14="down",1,0)</f>
        <v>0</v>
      </c>
      <c r="F14" s="8" t="n">
        <f aca="false">Data!E12</f>
        <v>0</v>
      </c>
      <c r="G14" s="9" t="n">
        <f aca="false">IF(B14=0,1-E14,E14)</f>
        <v>0</v>
      </c>
      <c r="H14" s="9" t="str">
        <f aca="false">IF(B14&lt;&gt;0,IF(E14=1,"Hit","Miss"),IF(E14=1,"False alarm","Correct rejection"))</f>
        <v>Miss</v>
      </c>
      <c r="I14" s="9" t="str">
        <f aca="false">IF(F14=G14,"","mismatch")</f>
        <v/>
      </c>
    </row>
    <row r="15" customFormat="false" ht="15" hidden="false" customHeight="false" outlineLevel="0" collapsed="false">
      <c r="A15" s="8" t="n">
        <f aca="false">Data!A13+1</f>
        <v>12</v>
      </c>
      <c r="B15" s="8" t="n">
        <f aca="false">Data!H13</f>
        <v>-3</v>
      </c>
      <c r="C15" s="9" t="n">
        <f aca="false">ABS(B15)</f>
        <v>3</v>
      </c>
      <c r="D15" s="8" t="str">
        <f aca="false">Data!D13</f>
        <v>up</v>
      </c>
      <c r="E15" s="9" t="n">
        <f aca="false">IF(D15="down",1,0)</f>
        <v>0</v>
      </c>
      <c r="F15" s="8" t="n">
        <f aca="false">Data!E13</f>
        <v>0</v>
      </c>
      <c r="G15" s="9" t="n">
        <f aca="false">IF(B15=0,1-E15,E15)</f>
        <v>0</v>
      </c>
      <c r="H15" s="9" t="str">
        <f aca="false">IF(B15&lt;&gt;0,IF(E15=1,"Hit","Miss"),IF(E15=1,"False alarm","Correct rejection"))</f>
        <v>Miss</v>
      </c>
      <c r="I15" s="9" t="str">
        <f aca="false">IF(F15=G15,"","mismatch")</f>
        <v/>
      </c>
      <c r="K15" s="12" t="s">
        <v>62</v>
      </c>
      <c r="L15" s="12"/>
    </row>
    <row r="16" customFormat="false" ht="15" hidden="false" customHeight="false" outlineLevel="0" collapsed="false">
      <c r="A16" s="8" t="n">
        <f aca="false">Data!A14+1</f>
        <v>13</v>
      </c>
      <c r="B16" s="8" t="n">
        <f aca="false">Data!H14</f>
        <v>4</v>
      </c>
      <c r="C16" s="9" t="n">
        <f aca="false">ABS(B16)</f>
        <v>4</v>
      </c>
      <c r="D16" s="8" t="str">
        <f aca="false">Data!D14</f>
        <v>down</v>
      </c>
      <c r="E16" s="9" t="n">
        <f aca="false">IF(D16="down",1,0)</f>
        <v>1</v>
      </c>
      <c r="F16" s="8" t="n">
        <f aca="false">Data!E14</f>
        <v>1</v>
      </c>
      <c r="G16" s="9" t="n">
        <f aca="false">IF(B16=0,1-E16,E16)</f>
        <v>1</v>
      </c>
      <c r="H16" s="9" t="str">
        <f aca="false">IF(B16&lt;&gt;0,IF(E16=1,"Hit","Miss"),IF(E16=1,"False alarm","Correct rejection"))</f>
        <v>Hit</v>
      </c>
      <c r="I16" s="9" t="str">
        <f aca="false">IF(F16=G16,"","mismatch")</f>
        <v/>
      </c>
      <c r="K16" s="2" t="s">
        <v>63</v>
      </c>
      <c r="L16" s="11" t="n">
        <f aca="false">(L6+0.5)/(L4+1)</f>
        <v>0.5</v>
      </c>
    </row>
    <row r="17" customFormat="false" ht="15" hidden="false" customHeight="false" outlineLevel="0" collapsed="false">
      <c r="A17" s="8" t="n">
        <f aca="false">Data!A15+1</f>
        <v>14</v>
      </c>
      <c r="B17" s="8" t="n">
        <f aca="false">Data!H15</f>
        <v>0</v>
      </c>
      <c r="C17" s="9" t="n">
        <f aca="false">ABS(B17)</f>
        <v>0</v>
      </c>
      <c r="D17" s="8" t="str">
        <f aca="false">Data!D15</f>
        <v>up</v>
      </c>
      <c r="E17" s="9" t="n">
        <f aca="false">IF(D17="down",1,0)</f>
        <v>0</v>
      </c>
      <c r="F17" s="8" t="n">
        <f aca="false">Data!E15</f>
        <v>1</v>
      </c>
      <c r="G17" s="9" t="n">
        <f aca="false">IF(B17=0,1-E17,E17)</f>
        <v>1</v>
      </c>
      <c r="H17" s="9" t="str">
        <f aca="false">IF(B17&lt;&gt;0,IF(E17=1,"Hit","Miss"),IF(E17=1,"False alarm","Correct rejection"))</f>
        <v>Correct rejection</v>
      </c>
      <c r="I17" s="9" t="str">
        <f aca="false">IF(F17=G17,"","mismatch")</f>
        <v/>
      </c>
      <c r="K17" s="2" t="s">
        <v>64</v>
      </c>
      <c r="L17" s="11" t="n">
        <f aca="false">(L8+0.5)/(L5+1)</f>
        <v>0.043859649122807</v>
      </c>
    </row>
    <row r="18" customFormat="false" ht="15" hidden="false" customHeight="false" outlineLevel="0" collapsed="false">
      <c r="A18" s="8" t="n">
        <f aca="false">Data!A16+1</f>
        <v>15</v>
      </c>
      <c r="B18" s="8" t="n">
        <f aca="false">Data!H16</f>
        <v>0</v>
      </c>
      <c r="C18" s="9" t="n">
        <f aca="false">ABS(B18)</f>
        <v>0</v>
      </c>
      <c r="D18" s="8" t="str">
        <f aca="false">Data!D16</f>
        <v>up</v>
      </c>
      <c r="E18" s="9" t="n">
        <f aca="false">IF(D18="down",1,0)</f>
        <v>0</v>
      </c>
      <c r="F18" s="8" t="n">
        <f aca="false">Data!E16</f>
        <v>1</v>
      </c>
      <c r="G18" s="9" t="n">
        <f aca="false">IF(B18=0,1-E18,E18)</f>
        <v>1</v>
      </c>
      <c r="H18" s="9" t="str">
        <f aca="false">IF(B18&lt;&gt;0,IF(E18=1,"Hit","Miss"),IF(E18=1,"False alarm","Correct rejection"))</f>
        <v>Correct rejection</v>
      </c>
      <c r="I18" s="9" t="str">
        <f aca="false">IF(F18=G18,"","mismatch")</f>
        <v/>
      </c>
      <c r="K18" s="2" t="s">
        <v>65</v>
      </c>
      <c r="L18" s="14" t="n">
        <f aca="false">NORMSINV(L16)-NORMSINV(L17)</f>
        <v>1.70755309355966</v>
      </c>
    </row>
    <row r="19" customFormat="false" ht="15" hidden="false" customHeight="false" outlineLevel="0" collapsed="false">
      <c r="A19" s="8" t="n">
        <f aca="false">Data!A17+1</f>
        <v>16</v>
      </c>
      <c r="B19" s="8" t="n">
        <f aca="false">Data!H17</f>
        <v>0</v>
      </c>
      <c r="C19" s="9" t="n">
        <f aca="false">ABS(B19)</f>
        <v>0</v>
      </c>
      <c r="D19" s="8" t="str">
        <f aca="false">Data!D17</f>
        <v>up</v>
      </c>
      <c r="E19" s="9" t="n">
        <f aca="false">IF(D19="down",1,0)</f>
        <v>0</v>
      </c>
      <c r="F19" s="8" t="n">
        <f aca="false">Data!E17</f>
        <v>1</v>
      </c>
      <c r="G19" s="9" t="n">
        <f aca="false">IF(B19=0,1-E19,E19)</f>
        <v>1</v>
      </c>
      <c r="H19" s="9" t="str">
        <f aca="false">IF(B19&lt;&gt;0,IF(E19=1,"Hit","Miss"),IF(E19=1,"False alarm","Correct rejection"))</f>
        <v>Correct rejection</v>
      </c>
      <c r="I19" s="9" t="str">
        <f aca="false">IF(F19=G19,"","mismatch")</f>
        <v/>
      </c>
      <c r="K19" s="2" t="s">
        <v>66</v>
      </c>
      <c r="L19" s="14" t="n">
        <f aca="false">-0.5*(NORMSINV(L16)+NORMSINV(L17))</f>
        <v>0.85377654677983</v>
      </c>
    </row>
    <row r="20" customFormat="false" ht="15" hidden="false" customHeight="false" outlineLevel="0" collapsed="false">
      <c r="A20" s="8" t="n">
        <f aca="false">Data!A18+1</f>
        <v>17</v>
      </c>
      <c r="B20" s="8" t="n">
        <f aca="false">Data!H18</f>
        <v>0</v>
      </c>
      <c r="C20" s="9" t="n">
        <f aca="false">ABS(B20)</f>
        <v>0</v>
      </c>
      <c r="D20" s="8" t="str">
        <f aca="false">Data!D18</f>
        <v>up</v>
      </c>
      <c r="E20" s="9" t="n">
        <f aca="false">IF(D20="down",1,0)</f>
        <v>0</v>
      </c>
      <c r="F20" s="8" t="n">
        <f aca="false">Data!E18</f>
        <v>1</v>
      </c>
      <c r="G20" s="9" t="n">
        <f aca="false">IF(B20=0,1-E20,E20)</f>
        <v>1</v>
      </c>
      <c r="H20" s="9" t="str">
        <f aca="false">IF(B20&lt;&gt;0,IF(E20=1,"Hit","Miss"),IF(E20=1,"False alarm","Correct rejection"))</f>
        <v>Correct rejection</v>
      </c>
      <c r="I20" s="9" t="str">
        <f aca="false">IF(F20=G20,"","mismatch")</f>
        <v/>
      </c>
    </row>
    <row r="21" customFormat="false" ht="15" hidden="false" customHeight="false" outlineLevel="0" collapsed="false">
      <c r="A21" s="8" t="n">
        <f aca="false">Data!A19+1</f>
        <v>18</v>
      </c>
      <c r="B21" s="8" t="n">
        <f aca="false">Data!H19</f>
        <v>0</v>
      </c>
      <c r="C21" s="9" t="n">
        <f aca="false">ABS(B21)</f>
        <v>0</v>
      </c>
      <c r="D21" s="8" t="str">
        <f aca="false">Data!D19</f>
        <v>up</v>
      </c>
      <c r="E21" s="9" t="n">
        <f aca="false">IF(D21="down",1,0)</f>
        <v>0</v>
      </c>
      <c r="F21" s="8" t="n">
        <f aca="false">Data!E19</f>
        <v>1</v>
      </c>
      <c r="G21" s="9" t="n">
        <f aca="false">IF(B21=0,1-E21,E21)</f>
        <v>1</v>
      </c>
      <c r="H21" s="9" t="str">
        <f aca="false">IF(B21&lt;&gt;0,IF(E21=1,"Hit","Miss"),IF(E21=1,"False alarm","Correct rejection"))</f>
        <v>Correct rejection</v>
      </c>
      <c r="I21" s="9" t="str">
        <f aca="false">IF(F21=G21,"","mismatch")</f>
        <v/>
      </c>
      <c r="K21" s="12" t="s">
        <v>67</v>
      </c>
      <c r="L21" s="12"/>
    </row>
    <row r="22" customFormat="false" ht="15" hidden="false" customHeight="false" outlineLevel="0" collapsed="false">
      <c r="A22" s="8" t="n">
        <f aca="false">Data!A20+1</f>
        <v>19</v>
      </c>
      <c r="B22" s="8" t="n">
        <f aca="false">Data!H20</f>
        <v>0</v>
      </c>
      <c r="C22" s="9" t="n">
        <f aca="false">ABS(B22)</f>
        <v>0</v>
      </c>
      <c r="D22" s="8" t="str">
        <f aca="false">Data!D20</f>
        <v>up</v>
      </c>
      <c r="E22" s="9" t="n">
        <f aca="false">IF(D22="down",1,0)</f>
        <v>0</v>
      </c>
      <c r="F22" s="8" t="n">
        <f aca="false">Data!E20</f>
        <v>1</v>
      </c>
      <c r="G22" s="9" t="n">
        <f aca="false">IF(B22=0,1-E22,E22)</f>
        <v>1</v>
      </c>
      <c r="H22" s="9" t="str">
        <f aca="false">IF(B22&lt;&gt;0,IF(E22=1,"Hit","Miss"),IF(E22=1,"False alarm","Correct rejection"))</f>
        <v>Correct rejection</v>
      </c>
      <c r="I22" s="9" t="str">
        <f aca="false">IF(F22=G22,"","mismatch")</f>
        <v/>
      </c>
      <c r="K22" s="2" t="s">
        <v>68</v>
      </c>
      <c r="L22" s="15" t="n">
        <f aca="false">AVERAGE(F4:F103)</f>
        <v>0.73</v>
      </c>
    </row>
    <row r="23" customFormat="false" ht="15" hidden="false" customHeight="false" outlineLevel="0" collapsed="false">
      <c r="A23" s="8" t="n">
        <f aca="false">Data!A21+1</f>
        <v>20</v>
      </c>
      <c r="B23" s="8" t="n">
        <f aca="false">Data!H21</f>
        <v>1</v>
      </c>
      <c r="C23" s="9" t="n">
        <f aca="false">ABS(B23)</f>
        <v>1</v>
      </c>
      <c r="D23" s="8" t="str">
        <f aca="false">Data!D21</f>
        <v>down</v>
      </c>
      <c r="E23" s="9" t="n">
        <f aca="false">IF(D23="down",1,0)</f>
        <v>1</v>
      </c>
      <c r="F23" s="8" t="n">
        <f aca="false">Data!E21</f>
        <v>1</v>
      </c>
      <c r="G23" s="9" t="n">
        <f aca="false">IF(B23=0,1-E23,E23)</f>
        <v>1</v>
      </c>
      <c r="H23" s="9" t="str">
        <f aca="false">IF(B23&lt;&gt;0,IF(E23=1,"Hit","Miss"),IF(E23=1,"False alarm","Correct rejection"))</f>
        <v>Hit</v>
      </c>
      <c r="I23" s="9" t="str">
        <f aca="false">IF(F23=G23,"","mismatch")</f>
        <v/>
      </c>
      <c r="K23" s="12" t="s">
        <v>69</v>
      </c>
      <c r="L23" s="16" t="n">
        <f aca="false">AVERAGE(G4:G103)</f>
        <v>0.76</v>
      </c>
    </row>
    <row r="24" customFormat="false" ht="15" hidden="false" customHeight="false" outlineLevel="0" collapsed="false">
      <c r="A24" s="8" t="n">
        <f aca="false">Data!A22+1</f>
        <v>21</v>
      </c>
      <c r="B24" s="8" t="n">
        <f aca="false">Data!H22</f>
        <v>3</v>
      </c>
      <c r="C24" s="9" t="n">
        <f aca="false">ABS(B24)</f>
        <v>3</v>
      </c>
      <c r="D24" s="8" t="str">
        <f aca="false">Data!D22</f>
        <v>down</v>
      </c>
      <c r="E24" s="9" t="n">
        <f aca="false">IF(D24="down",1,0)</f>
        <v>1</v>
      </c>
      <c r="F24" s="8" t="n">
        <f aca="false">Data!E22</f>
        <v>1</v>
      </c>
      <c r="G24" s="9" t="n">
        <f aca="false">IF(B24=0,1-E24,E24)</f>
        <v>1</v>
      </c>
      <c r="H24" s="9" t="str">
        <f aca="false">IF(B24&lt;&gt;0,IF(E24=1,"Hit","Miss"),IF(E24=1,"False alarm","Correct rejection"))</f>
        <v>Hit</v>
      </c>
      <c r="I24" s="9" t="str">
        <f aca="false">IF(F24=G24,"","mismatch")</f>
        <v/>
      </c>
      <c r="K24" s="2" t="s">
        <v>70</v>
      </c>
      <c r="L24" s="10" t="n">
        <f aca="false">COUNTIF(I4:I103,"mismatch")</f>
        <v>3</v>
      </c>
    </row>
    <row r="25" customFormat="false" ht="15" hidden="false" customHeight="false" outlineLevel="0" collapsed="false">
      <c r="A25" s="8" t="n">
        <f aca="false">Data!A23+1</f>
        <v>22</v>
      </c>
      <c r="B25" s="8" t="n">
        <f aca="false">Data!H23</f>
        <v>0</v>
      </c>
      <c r="C25" s="9" t="n">
        <f aca="false">ABS(B25)</f>
        <v>0</v>
      </c>
      <c r="D25" s="8" t="str">
        <f aca="false">Data!D23</f>
        <v>up</v>
      </c>
      <c r="E25" s="9" t="n">
        <f aca="false">IF(D25="down",1,0)</f>
        <v>0</v>
      </c>
      <c r="F25" s="8" t="n">
        <f aca="false">Data!E23</f>
        <v>1</v>
      </c>
      <c r="G25" s="9" t="n">
        <f aca="false">IF(B25=0,1-E25,E25)</f>
        <v>1</v>
      </c>
      <c r="H25" s="9" t="str">
        <f aca="false">IF(B25&lt;&gt;0,IF(E25=1,"Hit","Miss"),IF(E25=1,"False alarm","Correct rejection"))</f>
        <v>Correct rejection</v>
      </c>
      <c r="I25" s="9" t="str">
        <f aca="false">IF(F25=G25,"","mismatch")</f>
        <v/>
      </c>
      <c r="K25" s="2" t="s">
        <v>71</v>
      </c>
      <c r="L25" s="11" t="n">
        <f aca="false">AVERAGE(Data!F2:F101)</f>
        <v>0.755144976973534</v>
      </c>
    </row>
    <row r="26" customFormat="false" ht="15" hidden="false" customHeight="false" outlineLevel="0" collapsed="false">
      <c r="A26" s="8" t="n">
        <f aca="false">Data!A24+1</f>
        <v>23</v>
      </c>
      <c r="B26" s="8" t="n">
        <f aca="false">Data!H24</f>
        <v>-5</v>
      </c>
      <c r="C26" s="9" t="n">
        <f aca="false">ABS(B26)</f>
        <v>5</v>
      </c>
      <c r="D26" s="8" t="str">
        <f aca="false">Data!D24</f>
        <v>down</v>
      </c>
      <c r="E26" s="9" t="n">
        <f aca="false">IF(D26="down",1,0)</f>
        <v>1</v>
      </c>
      <c r="F26" s="8" t="n">
        <f aca="false">Data!E24</f>
        <v>1</v>
      </c>
      <c r="G26" s="9" t="n">
        <f aca="false">IF(B26=0,1-E26,E26)</f>
        <v>1</v>
      </c>
      <c r="H26" s="9" t="str">
        <f aca="false">IF(B26&lt;&gt;0,IF(E26=1,"Hit","Miss"),IF(E26=1,"False alarm","Correct rejection"))</f>
        <v>Hit</v>
      </c>
      <c r="I26" s="9" t="str">
        <f aca="false">IF(F26=G26,"","mismatch")</f>
        <v/>
      </c>
      <c r="K26" s="2" t="s">
        <v>72</v>
      </c>
      <c r="L26" s="11" t="n">
        <f aca="false">AVERAGEIF(G4:G103,1,Data!F2:F101)</f>
        <v>0.688052877612216</v>
      </c>
    </row>
    <row r="27" customFormat="false" ht="15" hidden="false" customHeight="false" outlineLevel="0" collapsed="false">
      <c r="A27" s="8" t="n">
        <f aca="false">Data!A25+1</f>
        <v>24</v>
      </c>
      <c r="B27" s="8" t="n">
        <f aca="false">Data!H25</f>
        <v>0</v>
      </c>
      <c r="C27" s="9" t="n">
        <f aca="false">ABS(B27)</f>
        <v>0</v>
      </c>
      <c r="D27" s="8" t="str">
        <f aca="false">Data!D25</f>
        <v>up</v>
      </c>
      <c r="E27" s="9" t="n">
        <f aca="false">IF(D27="down",1,0)</f>
        <v>0</v>
      </c>
      <c r="F27" s="8" t="n">
        <f aca="false">Data!E25</f>
        <v>1</v>
      </c>
      <c r="G27" s="9" t="n">
        <f aca="false">IF(B27=0,1-E27,E27)</f>
        <v>1</v>
      </c>
      <c r="H27" s="9" t="str">
        <f aca="false">IF(B27&lt;&gt;0,IF(E27=1,"Hit","Miss"),IF(E27=1,"False alarm","Correct rejection"))</f>
        <v>Correct rejection</v>
      </c>
      <c r="I27" s="9" t="str">
        <f aca="false">IF(F27=G27,"","mismatch")</f>
        <v/>
      </c>
      <c r="K27" s="2" t="s">
        <v>73</v>
      </c>
      <c r="L27" s="11" t="n">
        <f aca="false">AVERAGEIF(G4:G103,0,Data!F2:F101)</f>
        <v>0.967603291617706</v>
      </c>
    </row>
    <row r="28" customFormat="false" ht="15" hidden="false" customHeight="false" outlineLevel="0" collapsed="false">
      <c r="A28" s="8" t="n">
        <f aca="false">Data!A26+1</f>
        <v>25</v>
      </c>
      <c r="B28" s="8" t="n">
        <f aca="false">Data!H26</f>
        <v>2</v>
      </c>
      <c r="C28" s="9" t="n">
        <f aca="false">ABS(B28)</f>
        <v>2</v>
      </c>
      <c r="D28" s="8" t="str">
        <f aca="false">Data!D26</f>
        <v>down</v>
      </c>
      <c r="E28" s="9" t="n">
        <f aca="false">IF(D28="down",1,0)</f>
        <v>1</v>
      </c>
      <c r="F28" s="8" t="n">
        <f aca="false">Data!E26</f>
        <v>1</v>
      </c>
      <c r="G28" s="9" t="n">
        <f aca="false">IF(B28=0,1-E28,E28)</f>
        <v>1</v>
      </c>
      <c r="H28" s="9" t="str">
        <f aca="false">IF(B28&lt;&gt;0,IF(E28=1,"Hit","Miss"),IF(E28=1,"False alarm","Correct rejection"))</f>
        <v>Hit</v>
      </c>
      <c r="I28" s="9" t="str">
        <f aca="false">IF(F28=G28,"","mismatch")</f>
        <v/>
      </c>
    </row>
    <row r="29" customFormat="false" ht="15" hidden="false" customHeight="false" outlineLevel="0" collapsed="false">
      <c r="A29" s="8" t="n">
        <f aca="false">Data!A27+1</f>
        <v>26</v>
      </c>
      <c r="B29" s="8" t="n">
        <f aca="false">Data!H27</f>
        <v>0</v>
      </c>
      <c r="C29" s="9" t="n">
        <f aca="false">ABS(B29)</f>
        <v>0</v>
      </c>
      <c r="D29" s="8" t="str">
        <f aca="false">Data!D27</f>
        <v>up</v>
      </c>
      <c r="E29" s="9" t="n">
        <f aca="false">IF(D29="down",1,0)</f>
        <v>0</v>
      </c>
      <c r="F29" s="8" t="n">
        <f aca="false">Data!E27</f>
        <v>1</v>
      </c>
      <c r="G29" s="9" t="n">
        <f aca="false">IF(B29=0,1-E29,E29)</f>
        <v>1</v>
      </c>
      <c r="H29" s="9" t="str">
        <f aca="false">IF(B29&lt;&gt;0,IF(E29=1,"Hit","Miss"),IF(E29=1,"False alarm","Correct rejection"))</f>
        <v>Correct rejection</v>
      </c>
      <c r="I29" s="9" t="str">
        <f aca="false">IF(F29=G29,"","mismatch")</f>
        <v/>
      </c>
    </row>
    <row r="30" customFormat="false" ht="15" hidden="false" customHeight="false" outlineLevel="0" collapsed="false">
      <c r="A30" s="8" t="n">
        <f aca="false">Data!A28+1</f>
        <v>27</v>
      </c>
      <c r="B30" s="8" t="n">
        <f aca="false">Data!H28</f>
        <v>0</v>
      </c>
      <c r="C30" s="9" t="n">
        <f aca="false">ABS(B30)</f>
        <v>0</v>
      </c>
      <c r="D30" s="8" t="str">
        <f aca="false">Data!D28</f>
        <v>up</v>
      </c>
      <c r="E30" s="9" t="n">
        <f aca="false">IF(D30="down",1,0)</f>
        <v>0</v>
      </c>
      <c r="F30" s="8" t="n">
        <f aca="false">Data!E28</f>
        <v>1</v>
      </c>
      <c r="G30" s="9" t="n">
        <f aca="false">IF(B30=0,1-E30,E30)</f>
        <v>1</v>
      </c>
      <c r="H30" s="9" t="str">
        <f aca="false">IF(B30&lt;&gt;0,IF(E30=1,"Hit","Miss"),IF(E30=1,"False alarm","Correct rejection"))</f>
        <v>Correct rejection</v>
      </c>
      <c r="I30" s="9" t="str">
        <f aca="false">IF(F30=G30,"","mismatch")</f>
        <v/>
      </c>
      <c r="K30" s="12" t="s">
        <v>74</v>
      </c>
    </row>
    <row r="31" customFormat="false" ht="15" hidden="false" customHeight="false" outlineLevel="0" collapsed="false">
      <c r="A31" s="8" t="n">
        <f aca="false">Data!A29+1</f>
        <v>28</v>
      </c>
      <c r="B31" s="8" t="n">
        <f aca="false">Data!H29</f>
        <v>-3</v>
      </c>
      <c r="C31" s="9" t="n">
        <f aca="false">ABS(B31)</f>
        <v>3</v>
      </c>
      <c r="D31" s="8" t="str">
        <f aca="false">Data!D29</f>
        <v>down</v>
      </c>
      <c r="E31" s="9" t="n">
        <f aca="false">IF(D31="down",1,0)</f>
        <v>1</v>
      </c>
      <c r="F31" s="8" t="n">
        <f aca="false">Data!E29</f>
        <v>1</v>
      </c>
      <c r="G31" s="9" t="n">
        <f aca="false">IF(B31=0,1-E31,E31)</f>
        <v>1</v>
      </c>
      <c r="H31" s="9" t="str">
        <f aca="false">IF(B31&lt;&gt;0,IF(E31=1,"Hit","Miss"),IF(E31=1,"False alarm","Correct rejection"))</f>
        <v>Hit</v>
      </c>
      <c r="I31" s="9" t="str">
        <f aca="false">IF(F31=G31,"","mismatch")</f>
        <v/>
      </c>
      <c r="K31" s="1" t="s">
        <v>43</v>
      </c>
      <c r="L31" s="1" t="s">
        <v>75</v>
      </c>
      <c r="M31" s="1" t="s">
        <v>76</v>
      </c>
      <c r="N31" s="1" t="s">
        <v>77</v>
      </c>
    </row>
    <row r="32" customFormat="false" ht="15" hidden="false" customHeight="false" outlineLevel="0" collapsed="false">
      <c r="A32" s="8" t="n">
        <f aca="false">Data!A30+1</f>
        <v>29</v>
      </c>
      <c r="B32" s="8" t="n">
        <f aca="false">Data!H30</f>
        <v>0</v>
      </c>
      <c r="C32" s="9" t="n">
        <f aca="false">ABS(B32)</f>
        <v>0</v>
      </c>
      <c r="D32" s="8" t="str">
        <f aca="false">Data!D30</f>
        <v>up</v>
      </c>
      <c r="E32" s="9" t="n">
        <f aca="false">IF(D32="down",1,0)</f>
        <v>0</v>
      </c>
      <c r="F32" s="8" t="n">
        <f aca="false">Data!E30</f>
        <v>1</v>
      </c>
      <c r="G32" s="9" t="n">
        <f aca="false">IF(B32=0,1-E32,E32)</f>
        <v>1</v>
      </c>
      <c r="H32" s="9" t="str">
        <f aca="false">IF(B32&lt;&gt;0,IF(E32=1,"Hit","Miss"),IF(E32=1,"False alarm","Correct rejection"))</f>
        <v>Correct rejection</v>
      </c>
      <c r="I32" s="9" t="str">
        <f aca="false">IF(F32=G32,"","mismatch")</f>
        <v/>
      </c>
      <c r="K32" s="17" t="n">
        <v>0</v>
      </c>
      <c r="L32" s="17" t="n">
        <f aca="false">COUNTIF($C$4:$C$103,K32)</f>
        <v>56</v>
      </c>
      <c r="M32" s="17" t="n">
        <f aca="false">SUMIF($C$4:$C$103,K32,$E$4:$E$103)</f>
        <v>2</v>
      </c>
      <c r="N32" s="18" t="n">
        <f aca="false">M32/L32</f>
        <v>0.0357142857142857</v>
      </c>
    </row>
    <row r="33" customFormat="false" ht="15" hidden="false" customHeight="false" outlineLevel="0" collapsed="false">
      <c r="A33" s="8" t="n">
        <f aca="false">Data!A31+1</f>
        <v>30</v>
      </c>
      <c r="B33" s="8" t="n">
        <f aca="false">Data!H31</f>
        <v>3</v>
      </c>
      <c r="C33" s="9" t="n">
        <f aca="false">ABS(B33)</f>
        <v>3</v>
      </c>
      <c r="D33" s="8" t="str">
        <f aca="false">Data!D31</f>
        <v>down</v>
      </c>
      <c r="E33" s="9" t="n">
        <f aca="false">IF(D33="down",1,0)</f>
        <v>1</v>
      </c>
      <c r="F33" s="8" t="n">
        <f aca="false">Data!E31</f>
        <v>1</v>
      </c>
      <c r="G33" s="9" t="n">
        <f aca="false">IF(B33=0,1-E33,E33)</f>
        <v>1</v>
      </c>
      <c r="H33" s="9" t="str">
        <f aca="false">IF(B33&lt;&gt;0,IF(E33=1,"Hit","Miss"),IF(E33=1,"False alarm","Correct rejection"))</f>
        <v>Hit</v>
      </c>
      <c r="I33" s="9" t="str">
        <f aca="false">IF(F33=G33,"","mismatch")</f>
        <v/>
      </c>
      <c r="K33" s="17" t="n">
        <v>1</v>
      </c>
      <c r="L33" s="17" t="n">
        <f aca="false">COUNTIF($C$4:$C$103,K33)</f>
        <v>10</v>
      </c>
      <c r="M33" s="17" t="n">
        <f aca="false">SUMIF($C$4:$C$103,K33,$E$4:$E$103)</f>
        <v>3</v>
      </c>
      <c r="N33" s="18" t="n">
        <f aca="false">M33/L33</f>
        <v>0.3</v>
      </c>
    </row>
    <row r="34" customFormat="false" ht="15" hidden="false" customHeight="false" outlineLevel="0" collapsed="false">
      <c r="A34" s="8" t="n">
        <f aca="false">Data!A32+1</f>
        <v>31</v>
      </c>
      <c r="B34" s="8" t="n">
        <f aca="false">Data!H32</f>
        <v>0</v>
      </c>
      <c r="C34" s="9" t="n">
        <f aca="false">ABS(B34)</f>
        <v>0</v>
      </c>
      <c r="D34" s="8" t="str">
        <f aca="false">Data!D32</f>
        <v>up</v>
      </c>
      <c r="E34" s="9" t="n">
        <f aca="false">IF(D34="down",1,0)</f>
        <v>0</v>
      </c>
      <c r="F34" s="8" t="n">
        <f aca="false">Data!E32</f>
        <v>1</v>
      </c>
      <c r="G34" s="9" t="n">
        <f aca="false">IF(B34=0,1-E34,E34)</f>
        <v>1</v>
      </c>
      <c r="H34" s="9" t="str">
        <f aca="false">IF(B34&lt;&gt;0,IF(E34=1,"Hit","Miss"),IF(E34=1,"False alarm","Correct rejection"))</f>
        <v>Correct rejection</v>
      </c>
      <c r="I34" s="9" t="str">
        <f aca="false">IF(F34=G34,"","mismatch")</f>
        <v/>
      </c>
      <c r="K34" s="17" t="n">
        <v>2</v>
      </c>
      <c r="L34" s="17" t="n">
        <f aca="false">COUNTIF($C$4:$C$103,K34)</f>
        <v>10</v>
      </c>
      <c r="M34" s="17" t="n">
        <f aca="false">SUMIF($C$4:$C$103,K34,$E$4:$E$103)</f>
        <v>3</v>
      </c>
      <c r="N34" s="18" t="n">
        <f aca="false">M34/L34</f>
        <v>0.3</v>
      </c>
    </row>
    <row r="35" customFormat="false" ht="15" hidden="false" customHeight="false" outlineLevel="0" collapsed="false">
      <c r="A35" s="8" t="n">
        <f aca="false">Data!A33+1</f>
        <v>32</v>
      </c>
      <c r="B35" s="8" t="n">
        <f aca="false">Data!H33</f>
        <v>-1</v>
      </c>
      <c r="C35" s="9" t="n">
        <f aca="false">ABS(B35)</f>
        <v>1</v>
      </c>
      <c r="D35" s="8" t="str">
        <f aca="false">Data!D33</f>
        <v>down</v>
      </c>
      <c r="E35" s="9" t="n">
        <f aca="false">IF(D35="down",1,0)</f>
        <v>1</v>
      </c>
      <c r="F35" s="8" t="n">
        <f aca="false">Data!E33</f>
        <v>1</v>
      </c>
      <c r="G35" s="9" t="n">
        <f aca="false">IF(B35=0,1-E35,E35)</f>
        <v>1</v>
      </c>
      <c r="H35" s="9" t="str">
        <f aca="false">IF(B35&lt;&gt;0,IF(E35=1,"Hit","Miss"),IF(E35=1,"False alarm","Correct rejection"))</f>
        <v>Hit</v>
      </c>
      <c r="I35" s="9" t="str">
        <f aca="false">IF(F35=G35,"","mismatch")</f>
        <v/>
      </c>
      <c r="K35" s="17" t="n">
        <v>3</v>
      </c>
      <c r="L35" s="17" t="n">
        <f aca="false">COUNTIF($C$4:$C$103,K35)</f>
        <v>10</v>
      </c>
      <c r="M35" s="17" t="n">
        <f aca="false">SUMIF($C$4:$C$103,K35,$E$4:$E$103)</f>
        <v>6</v>
      </c>
      <c r="N35" s="18" t="n">
        <f aca="false">M35/L35</f>
        <v>0.6</v>
      </c>
    </row>
    <row r="36" customFormat="false" ht="15" hidden="false" customHeight="false" outlineLevel="0" collapsed="false">
      <c r="A36" s="8" t="n">
        <f aca="false">Data!A34+1</f>
        <v>33</v>
      </c>
      <c r="B36" s="8" t="n">
        <f aca="false">Data!H34</f>
        <v>0</v>
      </c>
      <c r="C36" s="9" t="n">
        <f aca="false">ABS(B36)</f>
        <v>0</v>
      </c>
      <c r="D36" s="8" t="str">
        <f aca="false">Data!D34</f>
        <v>up</v>
      </c>
      <c r="E36" s="9" t="n">
        <f aca="false">IF(D36="down",1,0)</f>
        <v>0</v>
      </c>
      <c r="F36" s="8" t="n">
        <f aca="false">Data!E34</f>
        <v>1</v>
      </c>
      <c r="G36" s="9" t="n">
        <f aca="false">IF(B36=0,1-E36,E36)</f>
        <v>1</v>
      </c>
      <c r="H36" s="9" t="str">
        <f aca="false">IF(B36&lt;&gt;0,IF(E36=1,"Hit","Miss"),IF(E36=1,"False alarm","Correct rejection"))</f>
        <v>Correct rejection</v>
      </c>
      <c r="I36" s="9" t="str">
        <f aca="false">IF(F36=G36,"","mismatch")</f>
        <v/>
      </c>
      <c r="K36" s="17" t="n">
        <v>4</v>
      </c>
      <c r="L36" s="17" t="n">
        <f aca="false">COUNTIF($C$4:$C$103,K36)</f>
        <v>10</v>
      </c>
      <c r="M36" s="17" t="n">
        <f aca="false">SUMIF($C$4:$C$103,K36,$E$4:$E$103)</f>
        <v>6</v>
      </c>
      <c r="N36" s="18" t="n">
        <f aca="false">M36/L36</f>
        <v>0.6</v>
      </c>
    </row>
    <row r="37" customFormat="false" ht="15" hidden="false" customHeight="false" outlineLevel="0" collapsed="false">
      <c r="A37" s="8" t="n">
        <f aca="false">Data!A35+1</f>
        <v>34</v>
      </c>
      <c r="B37" s="8" t="n">
        <f aca="false">Data!H35</f>
        <v>0</v>
      </c>
      <c r="C37" s="9" t="n">
        <f aca="false">ABS(B37)</f>
        <v>0</v>
      </c>
      <c r="D37" s="8" t="str">
        <f aca="false">Data!D35</f>
        <v>up</v>
      </c>
      <c r="E37" s="9" t="n">
        <f aca="false">IF(D37="down",1,0)</f>
        <v>0</v>
      </c>
      <c r="F37" s="8" t="n">
        <f aca="false">Data!E35</f>
        <v>1</v>
      </c>
      <c r="G37" s="9" t="n">
        <f aca="false">IF(B37=0,1-E37,E37)</f>
        <v>1</v>
      </c>
      <c r="H37" s="9" t="str">
        <f aca="false">IF(B37&lt;&gt;0,IF(E37=1,"Hit","Miss"),IF(E37=1,"False alarm","Correct rejection"))</f>
        <v>Correct rejection</v>
      </c>
      <c r="I37" s="9" t="str">
        <f aca="false">IF(F37=G37,"","mismatch")</f>
        <v/>
      </c>
      <c r="K37" s="17" t="n">
        <v>5</v>
      </c>
      <c r="L37" s="17" t="n">
        <f aca="false">COUNTIF($C$4:$C$103,K37)</f>
        <v>4</v>
      </c>
      <c r="M37" s="17" t="n">
        <f aca="false">SUMIF($C$4:$C$103,K37,$E$4:$E$103)</f>
        <v>4</v>
      </c>
      <c r="N37" s="18" t="n">
        <f aca="false">M37/L37</f>
        <v>1</v>
      </c>
    </row>
    <row r="38" customFormat="false" ht="15" hidden="false" customHeight="false" outlineLevel="0" collapsed="false">
      <c r="A38" s="8" t="n">
        <f aca="false">Data!A36+1</f>
        <v>35</v>
      </c>
      <c r="B38" s="8" t="n">
        <f aca="false">Data!H36</f>
        <v>0</v>
      </c>
      <c r="C38" s="9" t="n">
        <f aca="false">ABS(B38)</f>
        <v>0</v>
      </c>
      <c r="D38" s="8" t="str">
        <f aca="false">Data!D36</f>
        <v>up</v>
      </c>
      <c r="E38" s="9" t="n">
        <f aca="false">IF(D38="down",1,0)</f>
        <v>0</v>
      </c>
      <c r="F38" s="8" t="n">
        <f aca="false">Data!E36</f>
        <v>1</v>
      </c>
      <c r="G38" s="9" t="n">
        <f aca="false">IF(B38=0,1-E38,E38)</f>
        <v>1</v>
      </c>
      <c r="H38" s="9" t="str">
        <f aca="false">IF(B38&lt;&gt;0,IF(E38=1,"Hit","Miss"),IF(E38=1,"False alarm","Correct rejection"))</f>
        <v>Correct rejection</v>
      </c>
      <c r="I38" s="9" t="str">
        <f aca="false">IF(F38=G38,"","mismatch")</f>
        <v/>
      </c>
    </row>
    <row r="39" customFormat="false" ht="15" hidden="false" customHeight="false" outlineLevel="0" collapsed="false">
      <c r="A39" s="8" t="n">
        <f aca="false">Data!A37+1</f>
        <v>36</v>
      </c>
      <c r="B39" s="8" t="n">
        <f aca="false">Data!H37</f>
        <v>0</v>
      </c>
      <c r="C39" s="9" t="n">
        <f aca="false">ABS(B39)</f>
        <v>0</v>
      </c>
      <c r="D39" s="8" t="str">
        <f aca="false">Data!D37</f>
        <v>up</v>
      </c>
      <c r="E39" s="9" t="n">
        <f aca="false">IF(D39="down",1,0)</f>
        <v>0</v>
      </c>
      <c r="F39" s="8" t="n">
        <f aca="false">Data!E37</f>
        <v>1</v>
      </c>
      <c r="G39" s="9" t="n">
        <f aca="false">IF(B39=0,1-E39,E39)</f>
        <v>1</v>
      </c>
      <c r="H39" s="9" t="str">
        <f aca="false">IF(B39&lt;&gt;0,IF(E39=1,"Hit","Miss"),IF(E39=1,"False alarm","Correct rejection"))</f>
        <v>Correct rejection</v>
      </c>
      <c r="I39" s="9" t="str">
        <f aca="false">IF(F39=G39,"","mismatch")</f>
        <v/>
      </c>
      <c r="K39" s="12" t="s">
        <v>78</v>
      </c>
      <c r="L39" s="19" t="n">
        <f aca="false">2+(0.5-N34)/(N35-N34)</f>
        <v>2.66666666666667</v>
      </c>
    </row>
    <row r="40" customFormat="false" ht="15" hidden="false" customHeight="false" outlineLevel="0" collapsed="false">
      <c r="A40" s="8" t="n">
        <f aca="false">Data!A38+1</f>
        <v>37</v>
      </c>
      <c r="B40" s="8" t="n">
        <f aca="false">Data!H38</f>
        <v>-5</v>
      </c>
      <c r="C40" s="9" t="n">
        <f aca="false">ABS(B40)</f>
        <v>5</v>
      </c>
      <c r="D40" s="8" t="str">
        <f aca="false">Data!D38</f>
        <v>down</v>
      </c>
      <c r="E40" s="9" t="n">
        <f aca="false">IF(D40="down",1,0)</f>
        <v>1</v>
      </c>
      <c r="F40" s="8" t="n">
        <f aca="false">Data!E38</f>
        <v>1</v>
      </c>
      <c r="G40" s="9" t="n">
        <f aca="false">IF(B40=0,1-E40,E40)</f>
        <v>1</v>
      </c>
      <c r="H40" s="9" t="str">
        <f aca="false">IF(B40&lt;&gt;0,IF(E40=1,"Hit","Miss"),IF(E40=1,"False alarm","Correct rejection"))</f>
        <v>Hit</v>
      </c>
      <c r="I40" s="9" t="str">
        <f aca="false">IF(F40=G40,"","mismatch")</f>
        <v/>
      </c>
    </row>
    <row r="41" customFormat="false" ht="15" hidden="false" customHeight="false" outlineLevel="0" collapsed="false">
      <c r="A41" s="8" t="n">
        <f aca="false">Data!A39+1</f>
        <v>38</v>
      </c>
      <c r="B41" s="8" t="n">
        <f aca="false">Data!H39</f>
        <v>0</v>
      </c>
      <c r="C41" s="9" t="n">
        <f aca="false">ABS(B41)</f>
        <v>0</v>
      </c>
      <c r="D41" s="8" t="str">
        <f aca="false">Data!D39</f>
        <v>up</v>
      </c>
      <c r="E41" s="9" t="n">
        <f aca="false">IF(D41="down",1,0)</f>
        <v>0</v>
      </c>
      <c r="F41" s="8" t="n">
        <f aca="false">Data!E39</f>
        <v>1</v>
      </c>
      <c r="G41" s="9" t="n">
        <f aca="false">IF(B41=0,1-E41,E41)</f>
        <v>1</v>
      </c>
      <c r="H41" s="9" t="str">
        <f aca="false">IF(B41&lt;&gt;0,IF(E41=1,"Hit","Miss"),IF(E41=1,"False alarm","Correct rejection"))</f>
        <v>Correct rejection</v>
      </c>
      <c r="I41" s="9" t="str">
        <f aca="false">IF(F41=G41,"","mismatch")</f>
        <v/>
      </c>
      <c r="K41" s="2" t="s">
        <v>79</v>
      </c>
      <c r="L41" s="11" t="n">
        <f aca="false">SUMIFS(E4:E103,B4:B103,"&lt;0")/COUNTIF(B4:B103,"&lt;0")</f>
        <v>0.434782608695652</v>
      </c>
    </row>
    <row r="42" customFormat="false" ht="15" hidden="false" customHeight="false" outlineLevel="0" collapsed="false">
      <c r="A42" s="8" t="n">
        <f aca="false">Data!A40+1</f>
        <v>39</v>
      </c>
      <c r="B42" s="8" t="n">
        <f aca="false">Data!H40</f>
        <v>-1</v>
      </c>
      <c r="C42" s="9" t="n">
        <f aca="false">ABS(B42)</f>
        <v>1</v>
      </c>
      <c r="D42" s="8" t="str">
        <f aca="false">Data!D40</f>
        <v>up</v>
      </c>
      <c r="E42" s="9" t="n">
        <f aca="false">IF(D42="down",1,0)</f>
        <v>0</v>
      </c>
      <c r="F42" s="8" t="n">
        <f aca="false">Data!E40</f>
        <v>0</v>
      </c>
      <c r="G42" s="9" t="n">
        <f aca="false">IF(B42=0,1-E42,E42)</f>
        <v>0</v>
      </c>
      <c r="H42" s="9" t="str">
        <f aca="false">IF(B42&lt;&gt;0,IF(E42=1,"Hit","Miss"),IF(E42=1,"False alarm","Correct rejection"))</f>
        <v>Miss</v>
      </c>
      <c r="I42" s="9" t="str">
        <f aca="false">IF(F42=G42,"","mismatch")</f>
        <v/>
      </c>
      <c r="K42" s="2" t="s">
        <v>80</v>
      </c>
      <c r="L42" s="11" t="n">
        <f aca="false">SUMIFS(E4:E103,B4:B103,"&gt;0")/COUNTIF(B4:B103,"&gt;0")</f>
        <v>0.571428571428571</v>
      </c>
    </row>
    <row r="43" customFormat="false" ht="15" hidden="false" customHeight="false" outlineLevel="0" collapsed="false">
      <c r="A43" s="8" t="n">
        <f aca="false">Data!A41+1</f>
        <v>40</v>
      </c>
      <c r="B43" s="8" t="n">
        <f aca="false">Data!H41</f>
        <v>0</v>
      </c>
      <c r="C43" s="9" t="n">
        <f aca="false">ABS(B43)</f>
        <v>0</v>
      </c>
      <c r="D43" s="8" t="str">
        <f aca="false">Data!D41</f>
        <v>up</v>
      </c>
      <c r="E43" s="9" t="n">
        <f aca="false">IF(D43="down",1,0)</f>
        <v>0</v>
      </c>
      <c r="F43" s="8" t="n">
        <f aca="false">Data!E41</f>
        <v>1</v>
      </c>
      <c r="G43" s="9" t="n">
        <f aca="false">IF(B43=0,1-E43,E43)</f>
        <v>1</v>
      </c>
      <c r="H43" s="9" t="str">
        <f aca="false">IF(B43&lt;&gt;0,IF(E43=1,"Hit","Miss"),IF(E43=1,"False alarm","Correct rejection"))</f>
        <v>Correct rejection</v>
      </c>
      <c r="I43" s="9" t="str">
        <f aca="false">IF(F43=G43,"","mismatch")</f>
        <v/>
      </c>
    </row>
    <row r="44" customFormat="false" ht="15" hidden="false" customHeight="false" outlineLevel="0" collapsed="false">
      <c r="A44" s="8" t="n">
        <f aca="false">Data!A42+1</f>
        <v>41</v>
      </c>
      <c r="B44" s="8" t="n">
        <f aca="false">Data!H42</f>
        <v>0</v>
      </c>
      <c r="C44" s="9" t="n">
        <f aca="false">ABS(B44)</f>
        <v>0</v>
      </c>
      <c r="D44" s="8" t="str">
        <f aca="false">Data!D42</f>
        <v>up</v>
      </c>
      <c r="E44" s="9" t="n">
        <f aca="false">IF(D44="down",1,0)</f>
        <v>0</v>
      </c>
      <c r="F44" s="8" t="n">
        <f aca="false">Data!E42</f>
        <v>1</v>
      </c>
      <c r="G44" s="9" t="n">
        <f aca="false">IF(B44=0,1-E44,E44)</f>
        <v>1</v>
      </c>
      <c r="H44" s="9" t="str">
        <f aca="false">IF(B44&lt;&gt;0,IF(E44=1,"Hit","Miss"),IF(E44=1,"False alarm","Correct rejection"))</f>
        <v>Correct rejection</v>
      </c>
      <c r="I44" s="9" t="str">
        <f aca="false">IF(F44=G44,"","mismatch")</f>
        <v/>
      </c>
      <c r="K44" s="12" t="s">
        <v>81</v>
      </c>
    </row>
    <row r="45" customFormat="false" ht="15" hidden="false" customHeight="false" outlineLevel="0" collapsed="false">
      <c r="A45" s="8" t="n">
        <f aca="false">Data!A43+1</f>
        <v>42</v>
      </c>
      <c r="B45" s="8" t="n">
        <f aca="false">Data!H43</f>
        <v>-2</v>
      </c>
      <c r="C45" s="9" t="n">
        <f aca="false">ABS(B45)</f>
        <v>2</v>
      </c>
      <c r="D45" s="8" t="str">
        <f aca="false">Data!D43</f>
        <v>down</v>
      </c>
      <c r="E45" s="9" t="n">
        <f aca="false">IF(D45="down",1,0)</f>
        <v>1</v>
      </c>
      <c r="F45" s="8" t="n">
        <f aca="false">Data!E43</f>
        <v>1</v>
      </c>
      <c r="G45" s="9" t="n">
        <f aca="false">IF(B45=0,1-E45,E45)</f>
        <v>1</v>
      </c>
      <c r="H45" s="9" t="str">
        <f aca="false">IF(B45&lt;&gt;0,IF(E45=1,"Hit","Miss"),IF(E45=1,"False alarm","Correct rejection"))</f>
        <v>Hit</v>
      </c>
      <c r="I45" s="9" t="str">
        <f aca="false">IF(F45=G45,"","mismatch")</f>
        <v/>
      </c>
      <c r="K45" s="5" t="s">
        <v>82</v>
      </c>
    </row>
    <row r="46" customFormat="false" ht="15" hidden="false" customHeight="false" outlineLevel="0" collapsed="false">
      <c r="A46" s="8" t="n">
        <f aca="false">Data!A44+1</f>
        <v>43</v>
      </c>
      <c r="B46" s="8" t="n">
        <f aca="false">Data!H44</f>
        <v>0</v>
      </c>
      <c r="C46" s="9" t="n">
        <f aca="false">ABS(B46)</f>
        <v>0</v>
      </c>
      <c r="D46" s="8" t="str">
        <f aca="false">Data!D44</f>
        <v>up</v>
      </c>
      <c r="E46" s="9" t="n">
        <f aca="false">IF(D46="down",1,0)</f>
        <v>0</v>
      </c>
      <c r="F46" s="8" t="n">
        <f aca="false">Data!E44</f>
        <v>1</v>
      </c>
      <c r="G46" s="9" t="n">
        <f aca="false">IF(B46=0,1-E46,E46)</f>
        <v>1</v>
      </c>
      <c r="H46" s="9" t="str">
        <f aca="false">IF(B46&lt;&gt;0,IF(E46=1,"Hit","Miss"),IF(E46=1,"False alarm","Correct rejection"))</f>
        <v>Correct rejection</v>
      </c>
      <c r="I46" s="9" t="str">
        <f aca="false">IF(F46=G46,"","mismatch")</f>
        <v/>
      </c>
      <c r="K46" s="5" t="s">
        <v>83</v>
      </c>
    </row>
    <row r="47" customFormat="false" ht="15" hidden="false" customHeight="false" outlineLevel="0" collapsed="false">
      <c r="A47" s="8" t="n">
        <f aca="false">Data!A45+1</f>
        <v>44</v>
      </c>
      <c r="B47" s="8" t="n">
        <f aca="false">Data!H45</f>
        <v>0</v>
      </c>
      <c r="C47" s="9" t="n">
        <f aca="false">ABS(B47)</f>
        <v>0</v>
      </c>
      <c r="D47" s="8" t="str">
        <f aca="false">Data!D45</f>
        <v>up</v>
      </c>
      <c r="E47" s="9" t="n">
        <f aca="false">IF(D47="down",1,0)</f>
        <v>0</v>
      </c>
      <c r="F47" s="8" t="n">
        <f aca="false">Data!E45</f>
        <v>1</v>
      </c>
      <c r="G47" s="9" t="n">
        <f aca="false">IF(B47=0,1-E47,E47)</f>
        <v>1</v>
      </c>
      <c r="H47" s="9" t="str">
        <f aca="false">IF(B47&lt;&gt;0,IF(E47=1,"Hit","Miss"),IF(E47=1,"False alarm","Correct rejection"))</f>
        <v>Correct rejection</v>
      </c>
      <c r="I47" s="9" t="str">
        <f aca="false">IF(F47=G47,"","mismatch")</f>
        <v/>
      </c>
      <c r="K47" s="5" t="s">
        <v>84</v>
      </c>
    </row>
    <row r="48" customFormat="false" ht="15" hidden="false" customHeight="false" outlineLevel="0" collapsed="false">
      <c r="A48" s="8" t="n">
        <f aca="false">Data!A46+1</f>
        <v>45</v>
      </c>
      <c r="B48" s="8" t="n">
        <f aca="false">Data!H46</f>
        <v>2</v>
      </c>
      <c r="C48" s="9" t="n">
        <f aca="false">ABS(B48)</f>
        <v>2</v>
      </c>
      <c r="D48" s="8" t="str">
        <f aca="false">Data!D46</f>
        <v>up</v>
      </c>
      <c r="E48" s="9" t="n">
        <f aca="false">IF(D48="down",1,0)</f>
        <v>0</v>
      </c>
      <c r="F48" s="8" t="n">
        <f aca="false">Data!E46</f>
        <v>0</v>
      </c>
      <c r="G48" s="9" t="n">
        <f aca="false">IF(B48=0,1-E48,E48)</f>
        <v>0</v>
      </c>
      <c r="H48" s="9" t="str">
        <f aca="false">IF(B48&lt;&gt;0,IF(E48=1,"Hit","Miss"),IF(E48=1,"False alarm","Correct rejection"))</f>
        <v>Miss</v>
      </c>
      <c r="I48" s="9" t="str">
        <f aca="false">IF(F48=G48,"","mismatch")</f>
        <v/>
      </c>
    </row>
    <row r="49" customFormat="false" ht="15" hidden="false" customHeight="false" outlineLevel="0" collapsed="false">
      <c r="A49" s="8" t="n">
        <f aca="false">Data!A47+1</f>
        <v>46</v>
      </c>
      <c r="B49" s="8" t="n">
        <f aca="false">Data!H47</f>
        <v>0</v>
      </c>
      <c r="C49" s="9" t="n">
        <f aca="false">ABS(B49)</f>
        <v>0</v>
      </c>
      <c r="D49" s="8" t="str">
        <f aca="false">Data!D47</f>
        <v>up</v>
      </c>
      <c r="E49" s="9" t="n">
        <f aca="false">IF(D49="down",1,0)</f>
        <v>0</v>
      </c>
      <c r="F49" s="8" t="n">
        <f aca="false">Data!E47</f>
        <v>1</v>
      </c>
      <c r="G49" s="9" t="n">
        <f aca="false">IF(B49=0,1-E49,E49)</f>
        <v>1</v>
      </c>
      <c r="H49" s="9" t="str">
        <f aca="false">IF(B49&lt;&gt;0,IF(E49=1,"Hit","Miss"),IF(E49=1,"False alarm","Correct rejection"))</f>
        <v>Correct rejection</v>
      </c>
      <c r="I49" s="9" t="str">
        <f aca="false">IF(F49=G49,"","mismatch")</f>
        <v/>
      </c>
    </row>
    <row r="50" customFormat="false" ht="15" hidden="false" customHeight="false" outlineLevel="0" collapsed="false">
      <c r="A50" s="8" t="n">
        <f aca="false">Data!A48+1</f>
        <v>47</v>
      </c>
      <c r="B50" s="8" t="n">
        <f aca="false">Data!H48</f>
        <v>-4</v>
      </c>
      <c r="C50" s="9" t="n">
        <f aca="false">ABS(B50)</f>
        <v>4</v>
      </c>
      <c r="D50" s="8" t="str">
        <f aca="false">Data!D48</f>
        <v>up</v>
      </c>
      <c r="E50" s="9" t="n">
        <f aca="false">IF(D50="down",1,0)</f>
        <v>0</v>
      </c>
      <c r="F50" s="8" t="n">
        <f aca="false">Data!E48</f>
        <v>0</v>
      </c>
      <c r="G50" s="9" t="n">
        <f aca="false">IF(B50=0,1-E50,E50)</f>
        <v>0</v>
      </c>
      <c r="H50" s="9" t="str">
        <f aca="false">IF(B50&lt;&gt;0,IF(E50=1,"Hit","Miss"),IF(E50=1,"False alarm","Correct rejection"))</f>
        <v>Miss</v>
      </c>
      <c r="I50" s="9" t="str">
        <f aca="false">IF(F50=G50,"","mismatch")</f>
        <v/>
      </c>
    </row>
    <row r="51" customFormat="false" ht="15" hidden="false" customHeight="false" outlineLevel="0" collapsed="false">
      <c r="A51" s="8" t="n">
        <f aca="false">Data!A49+1</f>
        <v>48</v>
      </c>
      <c r="B51" s="8" t="n">
        <f aca="false">Data!H49</f>
        <v>0</v>
      </c>
      <c r="C51" s="9" t="n">
        <f aca="false">ABS(B51)</f>
        <v>0</v>
      </c>
      <c r="D51" s="8" t="str">
        <f aca="false">Data!D49</f>
        <v>up</v>
      </c>
      <c r="E51" s="9" t="n">
        <f aca="false">IF(D51="down",1,0)</f>
        <v>0</v>
      </c>
      <c r="F51" s="8" t="n">
        <f aca="false">Data!E49</f>
        <v>1</v>
      </c>
      <c r="G51" s="9" t="n">
        <f aca="false">IF(B51=0,1-E51,E51)</f>
        <v>1</v>
      </c>
      <c r="H51" s="9" t="str">
        <f aca="false">IF(B51&lt;&gt;0,IF(E51=1,"Hit","Miss"),IF(E51=1,"False alarm","Correct rejection"))</f>
        <v>Correct rejection</v>
      </c>
      <c r="I51" s="9" t="str">
        <f aca="false">IF(F51=G51,"","mismatch")</f>
        <v/>
      </c>
    </row>
    <row r="52" customFormat="false" ht="15" hidden="false" customHeight="false" outlineLevel="0" collapsed="false">
      <c r="A52" s="8" t="n">
        <f aca="false">Data!A50+1</f>
        <v>49</v>
      </c>
      <c r="B52" s="8" t="n">
        <f aca="false">Data!H50</f>
        <v>2</v>
      </c>
      <c r="C52" s="9" t="n">
        <f aca="false">ABS(B52)</f>
        <v>2</v>
      </c>
      <c r="D52" s="8" t="str">
        <f aca="false">Data!D50</f>
        <v>up</v>
      </c>
      <c r="E52" s="9" t="n">
        <f aca="false">IF(D52="down",1,0)</f>
        <v>0</v>
      </c>
      <c r="F52" s="8" t="n">
        <f aca="false">Data!E50</f>
        <v>0</v>
      </c>
      <c r="G52" s="9" t="n">
        <f aca="false">IF(B52=0,1-E52,E52)</f>
        <v>0</v>
      </c>
      <c r="H52" s="9" t="str">
        <f aca="false">IF(B52&lt;&gt;0,IF(E52=1,"Hit","Miss"),IF(E52=1,"False alarm","Correct rejection"))</f>
        <v>Miss</v>
      </c>
      <c r="I52" s="9" t="str">
        <f aca="false">IF(F52=G52,"","mismatch")</f>
        <v/>
      </c>
    </row>
    <row r="53" customFormat="false" ht="15" hidden="false" customHeight="false" outlineLevel="0" collapsed="false">
      <c r="A53" s="8" t="n">
        <f aca="false">Data!A51+1</f>
        <v>50</v>
      </c>
      <c r="B53" s="8" t="n">
        <f aca="false">Data!H51</f>
        <v>0</v>
      </c>
      <c r="C53" s="9" t="n">
        <f aca="false">ABS(B53)</f>
        <v>0</v>
      </c>
      <c r="D53" s="8" t="str">
        <f aca="false">Data!D51</f>
        <v>up</v>
      </c>
      <c r="E53" s="9" t="n">
        <f aca="false">IF(D53="down",1,0)</f>
        <v>0</v>
      </c>
      <c r="F53" s="8" t="n">
        <f aca="false">Data!E51</f>
        <v>1</v>
      </c>
      <c r="G53" s="9" t="n">
        <f aca="false">IF(B53=0,1-E53,E53)</f>
        <v>1</v>
      </c>
      <c r="H53" s="9" t="str">
        <f aca="false">IF(B53&lt;&gt;0,IF(E53=1,"Hit","Miss"),IF(E53=1,"False alarm","Correct rejection"))</f>
        <v>Correct rejection</v>
      </c>
      <c r="I53" s="9" t="str">
        <f aca="false">IF(F53=G53,"","mismatch")</f>
        <v/>
      </c>
    </row>
    <row r="54" customFormat="false" ht="15" hidden="false" customHeight="false" outlineLevel="0" collapsed="false">
      <c r="A54" s="8" t="n">
        <f aca="false">Data!A52+1</f>
        <v>51</v>
      </c>
      <c r="B54" s="8" t="n">
        <f aca="false">Data!H52</f>
        <v>0</v>
      </c>
      <c r="C54" s="9" t="n">
        <f aca="false">ABS(B54)</f>
        <v>0</v>
      </c>
      <c r="D54" s="8" t="str">
        <f aca="false">Data!D52</f>
        <v>up</v>
      </c>
      <c r="E54" s="9" t="n">
        <f aca="false">IF(D54="down",1,0)</f>
        <v>0</v>
      </c>
      <c r="F54" s="8" t="n">
        <f aca="false">Data!E52</f>
        <v>1</v>
      </c>
      <c r="G54" s="9" t="n">
        <f aca="false">IF(B54=0,1-E54,E54)</f>
        <v>1</v>
      </c>
      <c r="H54" s="9" t="str">
        <f aca="false">IF(B54&lt;&gt;0,IF(E54=1,"Hit","Miss"),IF(E54=1,"False alarm","Correct rejection"))</f>
        <v>Correct rejection</v>
      </c>
      <c r="I54" s="9" t="str">
        <f aca="false">IF(F54=G54,"","mismatch")</f>
        <v/>
      </c>
    </row>
    <row r="55" customFormat="false" ht="15" hidden="false" customHeight="false" outlineLevel="0" collapsed="false">
      <c r="A55" s="8" t="n">
        <f aca="false">Data!A53+1</f>
        <v>52</v>
      </c>
      <c r="B55" s="8" t="n">
        <f aca="false">Data!H53</f>
        <v>0</v>
      </c>
      <c r="C55" s="9" t="n">
        <f aca="false">ABS(B55)</f>
        <v>0</v>
      </c>
      <c r="D55" s="8" t="str">
        <f aca="false">Data!D53</f>
        <v>up</v>
      </c>
      <c r="E55" s="9" t="n">
        <f aca="false">IF(D55="down",1,0)</f>
        <v>0</v>
      </c>
      <c r="F55" s="8" t="n">
        <f aca="false">Data!E53</f>
        <v>1</v>
      </c>
      <c r="G55" s="9" t="n">
        <f aca="false">IF(B55=0,1-E55,E55)</f>
        <v>1</v>
      </c>
      <c r="H55" s="9" t="str">
        <f aca="false">IF(B55&lt;&gt;0,IF(E55=1,"Hit","Miss"),IF(E55=1,"False alarm","Correct rejection"))</f>
        <v>Correct rejection</v>
      </c>
      <c r="I55" s="9" t="str">
        <f aca="false">IF(F55=G55,"","mismatch")</f>
        <v/>
      </c>
    </row>
    <row r="56" customFormat="false" ht="15" hidden="false" customHeight="false" outlineLevel="0" collapsed="false">
      <c r="A56" s="8" t="n">
        <f aca="false">Data!A54+1</f>
        <v>53</v>
      </c>
      <c r="B56" s="8" t="n">
        <f aca="false">Data!H54</f>
        <v>-3</v>
      </c>
      <c r="C56" s="9" t="n">
        <f aca="false">ABS(B56)</f>
        <v>3</v>
      </c>
      <c r="D56" s="8" t="str">
        <f aca="false">Data!D54</f>
        <v>up</v>
      </c>
      <c r="E56" s="9" t="n">
        <f aca="false">IF(D56="down",1,0)</f>
        <v>0</v>
      </c>
      <c r="F56" s="8" t="n">
        <f aca="false">Data!E54</f>
        <v>0</v>
      </c>
      <c r="G56" s="9" t="n">
        <f aca="false">IF(B56=0,1-E56,E56)</f>
        <v>0</v>
      </c>
      <c r="H56" s="9" t="str">
        <f aca="false">IF(B56&lt;&gt;0,IF(E56=1,"Hit","Miss"),IF(E56=1,"False alarm","Correct rejection"))</f>
        <v>Miss</v>
      </c>
      <c r="I56" s="9" t="str">
        <f aca="false">IF(F56=G56,"","mismatch")</f>
        <v/>
      </c>
    </row>
    <row r="57" customFormat="false" ht="15" hidden="false" customHeight="false" outlineLevel="0" collapsed="false">
      <c r="A57" s="8" t="n">
        <f aca="false">Data!A55+1</f>
        <v>54</v>
      </c>
      <c r="B57" s="8" t="n">
        <f aca="false">Data!H55</f>
        <v>0</v>
      </c>
      <c r="C57" s="9" t="n">
        <f aca="false">ABS(B57)</f>
        <v>0</v>
      </c>
      <c r="D57" s="8" t="str">
        <f aca="false">Data!D55</f>
        <v>up</v>
      </c>
      <c r="E57" s="9" t="n">
        <f aca="false">IF(D57="down",1,0)</f>
        <v>0</v>
      </c>
      <c r="F57" s="8" t="n">
        <f aca="false">Data!E55</f>
        <v>1</v>
      </c>
      <c r="G57" s="9" t="n">
        <f aca="false">IF(B57=0,1-E57,E57)</f>
        <v>1</v>
      </c>
      <c r="H57" s="9" t="str">
        <f aca="false">IF(B57&lt;&gt;0,IF(E57=1,"Hit","Miss"),IF(E57=1,"False alarm","Correct rejection"))</f>
        <v>Correct rejection</v>
      </c>
      <c r="I57" s="9" t="str">
        <f aca="false">IF(F57=G57,"","mismatch")</f>
        <v/>
      </c>
    </row>
    <row r="58" customFormat="false" ht="15" hidden="false" customHeight="false" outlineLevel="0" collapsed="false">
      <c r="A58" s="8" t="n">
        <f aca="false">Data!A56+1</f>
        <v>55</v>
      </c>
      <c r="B58" s="8" t="n">
        <f aca="false">Data!H56</f>
        <v>0</v>
      </c>
      <c r="C58" s="9" t="n">
        <f aca="false">ABS(B58)</f>
        <v>0</v>
      </c>
      <c r="D58" s="8" t="str">
        <f aca="false">Data!D56</f>
        <v>up</v>
      </c>
      <c r="E58" s="9" t="n">
        <f aca="false">IF(D58="down",1,0)</f>
        <v>0</v>
      </c>
      <c r="F58" s="8" t="n">
        <f aca="false">Data!E56</f>
        <v>1</v>
      </c>
      <c r="G58" s="9" t="n">
        <f aca="false">IF(B58=0,1-E58,E58)</f>
        <v>1</v>
      </c>
      <c r="H58" s="9" t="str">
        <f aca="false">IF(B58&lt;&gt;0,IF(E58=1,"Hit","Miss"),IF(E58=1,"False alarm","Correct rejection"))</f>
        <v>Correct rejection</v>
      </c>
      <c r="I58" s="9" t="str">
        <f aca="false">IF(F58=G58,"","mismatch")</f>
        <v/>
      </c>
    </row>
    <row r="59" customFormat="false" ht="15" hidden="false" customHeight="false" outlineLevel="0" collapsed="false">
      <c r="A59" s="8" t="n">
        <f aca="false">Data!A57+1</f>
        <v>56</v>
      </c>
      <c r="B59" s="8" t="n">
        <f aca="false">Data!H57</f>
        <v>4</v>
      </c>
      <c r="C59" s="9" t="n">
        <f aca="false">ABS(B59)</f>
        <v>4</v>
      </c>
      <c r="D59" s="8" t="str">
        <f aca="false">Data!D57</f>
        <v>up</v>
      </c>
      <c r="E59" s="9" t="n">
        <f aca="false">IF(D59="down",1,0)</f>
        <v>0</v>
      </c>
      <c r="F59" s="8" t="n">
        <f aca="false">Data!E57</f>
        <v>0</v>
      </c>
      <c r="G59" s="9" t="n">
        <f aca="false">IF(B59=0,1-E59,E59)</f>
        <v>0</v>
      </c>
      <c r="H59" s="9" t="str">
        <f aca="false">IF(B59&lt;&gt;0,IF(E59=1,"Hit","Miss"),IF(E59=1,"False alarm","Correct rejection"))</f>
        <v>Miss</v>
      </c>
      <c r="I59" s="9" t="str">
        <f aca="false">IF(F59=G59,"","mismatch")</f>
        <v/>
      </c>
    </row>
    <row r="60" customFormat="false" ht="15" hidden="false" customHeight="false" outlineLevel="0" collapsed="false">
      <c r="A60" s="8" t="n">
        <f aca="false">Data!A58+1</f>
        <v>57</v>
      </c>
      <c r="B60" s="8" t="n">
        <f aca="false">Data!H58</f>
        <v>0</v>
      </c>
      <c r="C60" s="9" t="n">
        <f aca="false">ABS(B60)</f>
        <v>0</v>
      </c>
      <c r="D60" s="8" t="str">
        <f aca="false">Data!D58</f>
        <v>up</v>
      </c>
      <c r="E60" s="9" t="n">
        <f aca="false">IF(D60="down",1,0)</f>
        <v>0</v>
      </c>
      <c r="F60" s="8" t="n">
        <f aca="false">Data!E58</f>
        <v>1</v>
      </c>
      <c r="G60" s="9" t="n">
        <f aca="false">IF(B60=0,1-E60,E60)</f>
        <v>1</v>
      </c>
      <c r="H60" s="9" t="str">
        <f aca="false">IF(B60&lt;&gt;0,IF(E60=1,"Hit","Miss"),IF(E60=1,"False alarm","Correct rejection"))</f>
        <v>Correct rejection</v>
      </c>
      <c r="I60" s="9" t="str">
        <f aca="false">IF(F60=G60,"","mismatch")</f>
        <v/>
      </c>
    </row>
    <row r="61" customFormat="false" ht="15" hidden="false" customHeight="false" outlineLevel="0" collapsed="false">
      <c r="A61" s="8" t="n">
        <f aca="false">Data!A59+1</f>
        <v>58</v>
      </c>
      <c r="B61" s="8" t="n">
        <f aca="false">Data!H59</f>
        <v>0</v>
      </c>
      <c r="C61" s="9" t="n">
        <f aca="false">ABS(B61)</f>
        <v>0</v>
      </c>
      <c r="D61" s="8" t="str">
        <f aca="false">Data!D59</f>
        <v>up</v>
      </c>
      <c r="E61" s="9" t="n">
        <f aca="false">IF(D61="down",1,0)</f>
        <v>0</v>
      </c>
      <c r="F61" s="8" t="n">
        <f aca="false">Data!E59</f>
        <v>1</v>
      </c>
      <c r="G61" s="9" t="n">
        <f aca="false">IF(B61=0,1-E61,E61)</f>
        <v>1</v>
      </c>
      <c r="H61" s="9" t="str">
        <f aca="false">IF(B61&lt;&gt;0,IF(E61=1,"Hit","Miss"),IF(E61=1,"False alarm","Correct rejection"))</f>
        <v>Correct rejection</v>
      </c>
      <c r="I61" s="9" t="str">
        <f aca="false">IF(F61=G61,"","mismatch")</f>
        <v/>
      </c>
    </row>
    <row r="62" customFormat="false" ht="15" hidden="false" customHeight="false" outlineLevel="0" collapsed="false">
      <c r="A62" s="8" t="n">
        <f aca="false">Data!A60+1</f>
        <v>59</v>
      </c>
      <c r="B62" s="8" t="n">
        <f aca="false">Data!H60</f>
        <v>0</v>
      </c>
      <c r="C62" s="9" t="n">
        <f aca="false">ABS(B62)</f>
        <v>0</v>
      </c>
      <c r="D62" s="8" t="str">
        <f aca="false">Data!D60</f>
        <v>up</v>
      </c>
      <c r="E62" s="9" t="n">
        <f aca="false">IF(D62="down",1,0)</f>
        <v>0</v>
      </c>
      <c r="F62" s="8" t="n">
        <f aca="false">Data!E60</f>
        <v>0</v>
      </c>
      <c r="G62" s="9" t="n">
        <f aca="false">IF(B62=0,1-E62,E62)</f>
        <v>1</v>
      </c>
      <c r="H62" s="9" t="str">
        <f aca="false">IF(B62&lt;&gt;0,IF(E62=1,"Hit","Miss"),IF(E62=1,"False alarm","Correct rejection"))</f>
        <v>Correct rejection</v>
      </c>
      <c r="I62" s="9" t="str">
        <f aca="false">IF(F62=G62,"","mismatch")</f>
        <v>mismatch</v>
      </c>
    </row>
    <row r="63" customFormat="false" ht="15" hidden="false" customHeight="false" outlineLevel="0" collapsed="false">
      <c r="A63" s="8" t="n">
        <f aca="false">Data!A61+1</f>
        <v>60</v>
      </c>
      <c r="B63" s="8" t="n">
        <f aca="false">Data!H61</f>
        <v>-2</v>
      </c>
      <c r="C63" s="9" t="n">
        <f aca="false">ABS(B63)</f>
        <v>2</v>
      </c>
      <c r="D63" s="8" t="str">
        <f aca="false">Data!D61</f>
        <v>up</v>
      </c>
      <c r="E63" s="9" t="n">
        <f aca="false">IF(D63="down",1,0)</f>
        <v>0</v>
      </c>
      <c r="F63" s="8" t="n">
        <f aca="false">Data!E61</f>
        <v>0</v>
      </c>
      <c r="G63" s="9" t="n">
        <f aca="false">IF(B63=0,1-E63,E63)</f>
        <v>0</v>
      </c>
      <c r="H63" s="9" t="str">
        <f aca="false">IF(B63&lt;&gt;0,IF(E63=1,"Hit","Miss"),IF(E63=1,"False alarm","Correct rejection"))</f>
        <v>Miss</v>
      </c>
      <c r="I63" s="9" t="str">
        <f aca="false">IF(F63=G63,"","mismatch")</f>
        <v/>
      </c>
    </row>
    <row r="64" customFormat="false" ht="15" hidden="false" customHeight="false" outlineLevel="0" collapsed="false">
      <c r="A64" s="8" t="n">
        <f aca="false">Data!A62+1</f>
        <v>61</v>
      </c>
      <c r="B64" s="8" t="n">
        <f aca="false">Data!H62</f>
        <v>0</v>
      </c>
      <c r="C64" s="9" t="n">
        <f aca="false">ABS(B64)</f>
        <v>0</v>
      </c>
      <c r="D64" s="8" t="str">
        <f aca="false">Data!D62</f>
        <v>up</v>
      </c>
      <c r="E64" s="9" t="n">
        <f aca="false">IF(D64="down",1,0)</f>
        <v>0</v>
      </c>
      <c r="F64" s="8" t="n">
        <f aca="false">Data!E62</f>
        <v>1</v>
      </c>
      <c r="G64" s="9" t="n">
        <f aca="false">IF(B64=0,1-E64,E64)</f>
        <v>1</v>
      </c>
      <c r="H64" s="9" t="str">
        <f aca="false">IF(B64&lt;&gt;0,IF(E64=1,"Hit","Miss"),IF(E64=1,"False alarm","Correct rejection"))</f>
        <v>Correct rejection</v>
      </c>
      <c r="I64" s="9" t="str">
        <f aca="false">IF(F64=G64,"","mismatch")</f>
        <v/>
      </c>
    </row>
    <row r="65" customFormat="false" ht="15" hidden="false" customHeight="false" outlineLevel="0" collapsed="false">
      <c r="A65" s="8" t="n">
        <f aca="false">Data!A63+1</f>
        <v>62</v>
      </c>
      <c r="B65" s="8" t="n">
        <f aca="false">Data!H63</f>
        <v>0</v>
      </c>
      <c r="C65" s="9" t="n">
        <f aca="false">ABS(B65)</f>
        <v>0</v>
      </c>
      <c r="D65" s="8" t="str">
        <f aca="false">Data!D63</f>
        <v>up</v>
      </c>
      <c r="E65" s="9" t="n">
        <f aca="false">IF(D65="down",1,0)</f>
        <v>0</v>
      </c>
      <c r="F65" s="8" t="n">
        <f aca="false">Data!E63</f>
        <v>1</v>
      </c>
      <c r="G65" s="9" t="n">
        <f aca="false">IF(B65=0,1-E65,E65)</f>
        <v>1</v>
      </c>
      <c r="H65" s="9" t="str">
        <f aca="false">IF(B65&lt;&gt;0,IF(E65=1,"Hit","Miss"),IF(E65=1,"False alarm","Correct rejection"))</f>
        <v>Correct rejection</v>
      </c>
      <c r="I65" s="9" t="str">
        <f aca="false">IF(F65=G65,"","mismatch")</f>
        <v/>
      </c>
    </row>
    <row r="66" customFormat="false" ht="15" hidden="false" customHeight="false" outlineLevel="0" collapsed="false">
      <c r="A66" s="8" t="n">
        <f aca="false">Data!A64+1</f>
        <v>63</v>
      </c>
      <c r="B66" s="8" t="n">
        <f aca="false">Data!H64</f>
        <v>0</v>
      </c>
      <c r="C66" s="9" t="n">
        <f aca="false">ABS(B66)</f>
        <v>0</v>
      </c>
      <c r="D66" s="8" t="str">
        <f aca="false">Data!D64</f>
        <v>up</v>
      </c>
      <c r="E66" s="9" t="n">
        <f aca="false">IF(D66="down",1,0)</f>
        <v>0</v>
      </c>
      <c r="F66" s="8" t="n">
        <f aca="false">Data!E64</f>
        <v>1</v>
      </c>
      <c r="G66" s="9" t="n">
        <f aca="false">IF(B66=0,1-E66,E66)</f>
        <v>1</v>
      </c>
      <c r="H66" s="9" t="str">
        <f aca="false">IF(B66&lt;&gt;0,IF(E66=1,"Hit","Miss"),IF(E66=1,"False alarm","Correct rejection"))</f>
        <v>Correct rejection</v>
      </c>
      <c r="I66" s="9" t="str">
        <f aca="false">IF(F66=G66,"","mismatch")</f>
        <v/>
      </c>
    </row>
    <row r="67" customFormat="false" ht="15" hidden="false" customHeight="false" outlineLevel="0" collapsed="false">
      <c r="A67" s="8" t="n">
        <f aca="false">Data!A65+1</f>
        <v>64</v>
      </c>
      <c r="B67" s="8" t="n">
        <f aca="false">Data!H65</f>
        <v>-4</v>
      </c>
      <c r="C67" s="9" t="n">
        <f aca="false">ABS(B67)</f>
        <v>4</v>
      </c>
      <c r="D67" s="8" t="str">
        <f aca="false">Data!D65</f>
        <v>down</v>
      </c>
      <c r="E67" s="9" t="n">
        <f aca="false">IF(D67="down",1,0)</f>
        <v>1</v>
      </c>
      <c r="F67" s="8" t="n">
        <f aca="false">Data!E65</f>
        <v>1</v>
      </c>
      <c r="G67" s="9" t="n">
        <f aca="false">IF(B67=0,1-E67,E67)</f>
        <v>1</v>
      </c>
      <c r="H67" s="9" t="str">
        <f aca="false">IF(B67&lt;&gt;0,IF(E67=1,"Hit","Miss"),IF(E67=1,"False alarm","Correct rejection"))</f>
        <v>Hit</v>
      </c>
      <c r="I67" s="9" t="str">
        <f aca="false">IF(F67=G67,"","mismatch")</f>
        <v/>
      </c>
    </row>
    <row r="68" customFormat="false" ht="15" hidden="false" customHeight="false" outlineLevel="0" collapsed="false">
      <c r="A68" s="8" t="n">
        <f aca="false">Data!A66+1</f>
        <v>65</v>
      </c>
      <c r="B68" s="8" t="n">
        <f aca="false">Data!H66</f>
        <v>0</v>
      </c>
      <c r="C68" s="9" t="n">
        <f aca="false">ABS(B68)</f>
        <v>0</v>
      </c>
      <c r="D68" s="8" t="str">
        <f aca="false">Data!D66</f>
        <v>up</v>
      </c>
      <c r="E68" s="9" t="n">
        <f aca="false">IF(D68="down",1,0)</f>
        <v>0</v>
      </c>
      <c r="F68" s="8" t="n">
        <f aca="false">Data!E66</f>
        <v>1</v>
      </c>
      <c r="G68" s="9" t="n">
        <f aca="false">IF(B68=0,1-E68,E68)</f>
        <v>1</v>
      </c>
      <c r="H68" s="9" t="str">
        <f aca="false">IF(B68&lt;&gt;0,IF(E68=1,"Hit","Miss"),IF(E68=1,"False alarm","Correct rejection"))</f>
        <v>Correct rejection</v>
      </c>
      <c r="I68" s="9" t="str">
        <f aca="false">IF(F68=G68,"","mismatch")</f>
        <v/>
      </c>
    </row>
    <row r="69" customFormat="false" ht="15" hidden="false" customHeight="false" outlineLevel="0" collapsed="false">
      <c r="A69" s="8" t="n">
        <f aca="false">Data!A67+1</f>
        <v>66</v>
      </c>
      <c r="B69" s="8" t="n">
        <f aca="false">Data!H67</f>
        <v>3</v>
      </c>
      <c r="C69" s="9" t="n">
        <f aca="false">ABS(B69)</f>
        <v>3</v>
      </c>
      <c r="D69" s="8" t="str">
        <f aca="false">Data!D67</f>
        <v>down</v>
      </c>
      <c r="E69" s="9" t="n">
        <f aca="false">IF(D69="down",1,0)</f>
        <v>1</v>
      </c>
      <c r="F69" s="8" t="n">
        <f aca="false">Data!E67</f>
        <v>1</v>
      </c>
      <c r="G69" s="9" t="n">
        <f aca="false">IF(B69=0,1-E69,E69)</f>
        <v>1</v>
      </c>
      <c r="H69" s="9" t="str">
        <f aca="false">IF(B69&lt;&gt;0,IF(E69=1,"Hit","Miss"),IF(E69=1,"False alarm","Correct rejection"))</f>
        <v>Hit</v>
      </c>
      <c r="I69" s="9" t="str">
        <f aca="false">IF(F69=G69,"","mismatch")</f>
        <v/>
      </c>
    </row>
    <row r="70" customFormat="false" ht="15" hidden="false" customHeight="false" outlineLevel="0" collapsed="false">
      <c r="A70" s="8" t="n">
        <f aca="false">Data!A68+1</f>
        <v>67</v>
      </c>
      <c r="B70" s="8" t="n">
        <f aca="false">Data!H68</f>
        <v>0</v>
      </c>
      <c r="C70" s="9" t="n">
        <f aca="false">ABS(B70)</f>
        <v>0</v>
      </c>
      <c r="D70" s="8" t="str">
        <f aca="false">Data!D68</f>
        <v>up</v>
      </c>
      <c r="E70" s="9" t="n">
        <f aca="false">IF(D70="down",1,0)</f>
        <v>0</v>
      </c>
      <c r="F70" s="8" t="n">
        <f aca="false">Data!E68</f>
        <v>0</v>
      </c>
      <c r="G70" s="9" t="n">
        <f aca="false">IF(B70=0,1-E70,E70)</f>
        <v>1</v>
      </c>
      <c r="H70" s="9" t="str">
        <f aca="false">IF(B70&lt;&gt;0,IF(E70=1,"Hit","Miss"),IF(E70=1,"False alarm","Correct rejection"))</f>
        <v>Correct rejection</v>
      </c>
      <c r="I70" s="9" t="str">
        <f aca="false">IF(F70=G70,"","mismatch")</f>
        <v>mismatch</v>
      </c>
    </row>
    <row r="71" customFormat="false" ht="15" hidden="false" customHeight="false" outlineLevel="0" collapsed="false">
      <c r="A71" s="8" t="n">
        <f aca="false">Data!A69+1</f>
        <v>68</v>
      </c>
      <c r="B71" s="8" t="n">
        <f aca="false">Data!H69</f>
        <v>1</v>
      </c>
      <c r="C71" s="9" t="n">
        <f aca="false">ABS(B71)</f>
        <v>1</v>
      </c>
      <c r="D71" s="8" t="str">
        <f aca="false">Data!D69</f>
        <v>up</v>
      </c>
      <c r="E71" s="9" t="n">
        <f aca="false">IF(D71="down",1,0)</f>
        <v>0</v>
      </c>
      <c r="F71" s="8" t="n">
        <f aca="false">Data!E69</f>
        <v>0</v>
      </c>
      <c r="G71" s="9" t="n">
        <f aca="false">IF(B71=0,1-E71,E71)</f>
        <v>0</v>
      </c>
      <c r="H71" s="9" t="str">
        <f aca="false">IF(B71&lt;&gt;0,IF(E71=1,"Hit","Miss"),IF(E71=1,"False alarm","Correct rejection"))</f>
        <v>Miss</v>
      </c>
      <c r="I71" s="9" t="str">
        <f aca="false">IF(F71=G71,"","mismatch")</f>
        <v/>
      </c>
    </row>
    <row r="72" customFormat="false" ht="15" hidden="false" customHeight="false" outlineLevel="0" collapsed="false">
      <c r="A72" s="8" t="n">
        <f aca="false">Data!A70+1</f>
        <v>69</v>
      </c>
      <c r="B72" s="8" t="n">
        <f aca="false">Data!H70</f>
        <v>-4</v>
      </c>
      <c r="C72" s="9" t="n">
        <f aca="false">ABS(B72)</f>
        <v>4</v>
      </c>
      <c r="D72" s="8" t="str">
        <f aca="false">Data!D70</f>
        <v>down</v>
      </c>
      <c r="E72" s="9" t="n">
        <f aca="false">IF(D72="down",1,0)</f>
        <v>1</v>
      </c>
      <c r="F72" s="8" t="n">
        <f aca="false">Data!E70</f>
        <v>1</v>
      </c>
      <c r="G72" s="9" t="n">
        <f aca="false">IF(B72=0,1-E72,E72)</f>
        <v>1</v>
      </c>
      <c r="H72" s="9" t="str">
        <f aca="false">IF(B72&lt;&gt;0,IF(E72=1,"Hit","Miss"),IF(E72=1,"False alarm","Correct rejection"))</f>
        <v>Hit</v>
      </c>
      <c r="I72" s="9" t="str">
        <f aca="false">IF(F72=G72,"","mismatch")</f>
        <v/>
      </c>
    </row>
    <row r="73" customFormat="false" ht="15" hidden="false" customHeight="false" outlineLevel="0" collapsed="false">
      <c r="A73" s="8" t="n">
        <f aca="false">Data!A71+1</f>
        <v>70</v>
      </c>
      <c r="B73" s="8" t="n">
        <f aca="false">Data!H71</f>
        <v>2</v>
      </c>
      <c r="C73" s="9" t="n">
        <f aca="false">ABS(B73)</f>
        <v>2</v>
      </c>
      <c r="D73" s="8" t="str">
        <f aca="false">Data!D71</f>
        <v>up</v>
      </c>
      <c r="E73" s="9" t="n">
        <f aca="false">IF(D73="down",1,0)</f>
        <v>0</v>
      </c>
      <c r="F73" s="8" t="n">
        <f aca="false">Data!E71</f>
        <v>0</v>
      </c>
      <c r="G73" s="9" t="n">
        <f aca="false">IF(B73=0,1-E73,E73)</f>
        <v>0</v>
      </c>
      <c r="H73" s="9" t="str">
        <f aca="false">IF(B73&lt;&gt;0,IF(E73=1,"Hit","Miss"),IF(E73=1,"False alarm","Correct rejection"))</f>
        <v>Miss</v>
      </c>
      <c r="I73" s="9" t="str">
        <f aca="false">IF(F73=G73,"","mismatch")</f>
        <v/>
      </c>
    </row>
    <row r="74" customFormat="false" ht="15" hidden="false" customHeight="false" outlineLevel="0" collapsed="false">
      <c r="A74" s="8" t="n">
        <f aca="false">Data!A72+1</f>
        <v>71</v>
      </c>
      <c r="B74" s="8" t="n">
        <f aca="false">Data!H72</f>
        <v>0</v>
      </c>
      <c r="C74" s="9" t="n">
        <f aca="false">ABS(B74)</f>
        <v>0</v>
      </c>
      <c r="D74" s="8" t="str">
        <f aca="false">Data!D72</f>
        <v>up</v>
      </c>
      <c r="E74" s="9" t="n">
        <f aca="false">IF(D74="down",1,0)</f>
        <v>0</v>
      </c>
      <c r="F74" s="8" t="n">
        <f aca="false">Data!E72</f>
        <v>1</v>
      </c>
      <c r="G74" s="9" t="n">
        <f aca="false">IF(B74=0,1-E74,E74)</f>
        <v>1</v>
      </c>
      <c r="H74" s="9" t="str">
        <f aca="false">IF(B74&lt;&gt;0,IF(E74=1,"Hit","Miss"),IF(E74=1,"False alarm","Correct rejection"))</f>
        <v>Correct rejection</v>
      </c>
      <c r="I74" s="9" t="str">
        <f aca="false">IF(F74=G74,"","mismatch")</f>
        <v/>
      </c>
    </row>
    <row r="75" customFormat="false" ht="15" hidden="false" customHeight="false" outlineLevel="0" collapsed="false">
      <c r="A75" s="8" t="n">
        <f aca="false">Data!A73+1</f>
        <v>72</v>
      </c>
      <c r="B75" s="8" t="n">
        <f aca="false">Data!H73</f>
        <v>0</v>
      </c>
      <c r="C75" s="9" t="n">
        <f aca="false">ABS(B75)</f>
        <v>0</v>
      </c>
      <c r="D75" s="8" t="str">
        <f aca="false">Data!D73</f>
        <v>up</v>
      </c>
      <c r="E75" s="9" t="n">
        <f aca="false">IF(D75="down",1,0)</f>
        <v>0</v>
      </c>
      <c r="F75" s="8" t="n">
        <f aca="false">Data!E73</f>
        <v>1</v>
      </c>
      <c r="G75" s="9" t="n">
        <f aca="false">IF(B75=0,1-E75,E75)</f>
        <v>1</v>
      </c>
      <c r="H75" s="9" t="str">
        <f aca="false">IF(B75&lt;&gt;0,IF(E75=1,"Hit","Miss"),IF(E75=1,"False alarm","Correct rejection"))</f>
        <v>Correct rejection</v>
      </c>
      <c r="I75" s="9" t="str">
        <f aca="false">IF(F75=G75,"","mismatch")</f>
        <v/>
      </c>
    </row>
    <row r="76" customFormat="false" ht="15" hidden="false" customHeight="false" outlineLevel="0" collapsed="false">
      <c r="A76" s="8" t="n">
        <f aca="false">Data!A74+1</f>
        <v>73</v>
      </c>
      <c r="B76" s="8" t="n">
        <f aca="false">Data!H74</f>
        <v>3</v>
      </c>
      <c r="C76" s="9" t="n">
        <f aca="false">ABS(B76)</f>
        <v>3</v>
      </c>
      <c r="D76" s="8" t="str">
        <f aca="false">Data!D74</f>
        <v>down</v>
      </c>
      <c r="E76" s="9" t="n">
        <f aca="false">IF(D76="down",1,0)</f>
        <v>1</v>
      </c>
      <c r="F76" s="8" t="n">
        <f aca="false">Data!E74</f>
        <v>1</v>
      </c>
      <c r="G76" s="9" t="n">
        <f aca="false">IF(B76=0,1-E76,E76)</f>
        <v>1</v>
      </c>
      <c r="H76" s="9" t="str">
        <f aca="false">IF(B76&lt;&gt;0,IF(E76=1,"Hit","Miss"),IF(E76=1,"False alarm","Correct rejection"))</f>
        <v>Hit</v>
      </c>
      <c r="I76" s="9" t="str">
        <f aca="false">IF(F76=G76,"","mismatch")</f>
        <v/>
      </c>
    </row>
    <row r="77" customFormat="false" ht="15" hidden="false" customHeight="false" outlineLevel="0" collapsed="false">
      <c r="A77" s="8" t="n">
        <f aca="false">Data!A75+1</f>
        <v>74</v>
      </c>
      <c r="B77" s="8" t="n">
        <f aca="false">Data!H75</f>
        <v>-5</v>
      </c>
      <c r="C77" s="9" t="n">
        <f aca="false">ABS(B77)</f>
        <v>5</v>
      </c>
      <c r="D77" s="8" t="str">
        <f aca="false">Data!D75</f>
        <v>down</v>
      </c>
      <c r="E77" s="9" t="n">
        <f aca="false">IF(D77="down",1,0)</f>
        <v>1</v>
      </c>
      <c r="F77" s="8" t="n">
        <f aca="false">Data!E75</f>
        <v>1</v>
      </c>
      <c r="G77" s="9" t="n">
        <f aca="false">IF(B77=0,1-E77,E77)</f>
        <v>1</v>
      </c>
      <c r="H77" s="9" t="str">
        <f aca="false">IF(B77&lt;&gt;0,IF(E77=1,"Hit","Miss"),IF(E77=1,"False alarm","Correct rejection"))</f>
        <v>Hit</v>
      </c>
      <c r="I77" s="9" t="str">
        <f aca="false">IF(F77=G77,"","mismatch")</f>
        <v/>
      </c>
    </row>
    <row r="78" customFormat="false" ht="15" hidden="false" customHeight="false" outlineLevel="0" collapsed="false">
      <c r="A78" s="8" t="n">
        <f aca="false">Data!A76+1</f>
        <v>75</v>
      </c>
      <c r="B78" s="8" t="n">
        <f aca="false">Data!H76</f>
        <v>0</v>
      </c>
      <c r="C78" s="9" t="n">
        <f aca="false">ABS(B78)</f>
        <v>0</v>
      </c>
      <c r="D78" s="8" t="str">
        <f aca="false">Data!D76</f>
        <v>up</v>
      </c>
      <c r="E78" s="9" t="n">
        <f aca="false">IF(D78="down",1,0)</f>
        <v>0</v>
      </c>
      <c r="F78" s="8" t="n">
        <f aca="false">Data!E76</f>
        <v>1</v>
      </c>
      <c r="G78" s="9" t="n">
        <f aca="false">IF(B78=0,1-E78,E78)</f>
        <v>1</v>
      </c>
      <c r="H78" s="9" t="str">
        <f aca="false">IF(B78&lt;&gt;0,IF(E78=1,"Hit","Miss"),IF(E78=1,"False alarm","Correct rejection"))</f>
        <v>Correct rejection</v>
      </c>
      <c r="I78" s="9" t="str">
        <f aca="false">IF(F78=G78,"","mismatch")</f>
        <v/>
      </c>
    </row>
    <row r="79" customFormat="false" ht="15" hidden="false" customHeight="false" outlineLevel="0" collapsed="false">
      <c r="A79" s="8" t="n">
        <f aca="false">Data!A77+1</f>
        <v>76</v>
      </c>
      <c r="B79" s="8" t="n">
        <f aca="false">Data!H77</f>
        <v>0</v>
      </c>
      <c r="C79" s="9" t="n">
        <f aca="false">ABS(B79)</f>
        <v>0</v>
      </c>
      <c r="D79" s="8" t="str">
        <f aca="false">Data!D77</f>
        <v>up</v>
      </c>
      <c r="E79" s="9" t="n">
        <f aca="false">IF(D79="down",1,0)</f>
        <v>0</v>
      </c>
      <c r="F79" s="8" t="n">
        <f aca="false">Data!E77</f>
        <v>1</v>
      </c>
      <c r="G79" s="9" t="n">
        <f aca="false">IF(B79=0,1-E79,E79)</f>
        <v>1</v>
      </c>
      <c r="H79" s="9" t="str">
        <f aca="false">IF(B79&lt;&gt;0,IF(E79=1,"Hit","Miss"),IF(E79=1,"False alarm","Correct rejection"))</f>
        <v>Correct rejection</v>
      </c>
      <c r="I79" s="9" t="str">
        <f aca="false">IF(F79=G79,"","mismatch")</f>
        <v/>
      </c>
    </row>
    <row r="80" customFormat="false" ht="15" hidden="false" customHeight="false" outlineLevel="0" collapsed="false">
      <c r="A80" s="8" t="n">
        <f aca="false">Data!A78+1</f>
        <v>77</v>
      </c>
      <c r="B80" s="8" t="n">
        <f aca="false">Data!H78</f>
        <v>3</v>
      </c>
      <c r="C80" s="9" t="n">
        <f aca="false">ABS(B80)</f>
        <v>3</v>
      </c>
      <c r="D80" s="8" t="str">
        <f aca="false">Data!D78</f>
        <v>down</v>
      </c>
      <c r="E80" s="9" t="n">
        <f aca="false">IF(D80="down",1,0)</f>
        <v>1</v>
      </c>
      <c r="F80" s="8" t="n">
        <f aca="false">Data!E78</f>
        <v>1</v>
      </c>
      <c r="G80" s="9" t="n">
        <f aca="false">IF(B80=0,1-E80,E80)</f>
        <v>1</v>
      </c>
      <c r="H80" s="9" t="str">
        <f aca="false">IF(B80&lt;&gt;0,IF(E80=1,"Hit","Miss"),IF(E80=1,"False alarm","Correct rejection"))</f>
        <v>Hit</v>
      </c>
      <c r="I80" s="9" t="str">
        <f aca="false">IF(F80=G80,"","mismatch")</f>
        <v/>
      </c>
    </row>
    <row r="81" customFormat="false" ht="15" hidden="false" customHeight="false" outlineLevel="0" collapsed="false">
      <c r="A81" s="8" t="n">
        <f aca="false">Data!A79+1</f>
        <v>78</v>
      </c>
      <c r="B81" s="8" t="n">
        <f aca="false">Data!H79</f>
        <v>0</v>
      </c>
      <c r="C81" s="9" t="n">
        <f aca="false">ABS(B81)</f>
        <v>0</v>
      </c>
      <c r="D81" s="8" t="str">
        <f aca="false">Data!D79</f>
        <v>up</v>
      </c>
      <c r="E81" s="9" t="n">
        <f aca="false">IF(D81="down",1,0)</f>
        <v>0</v>
      </c>
      <c r="F81" s="8" t="n">
        <f aca="false">Data!E79</f>
        <v>1</v>
      </c>
      <c r="G81" s="9" t="n">
        <f aca="false">IF(B81=0,1-E81,E81)</f>
        <v>1</v>
      </c>
      <c r="H81" s="9" t="str">
        <f aca="false">IF(B81&lt;&gt;0,IF(E81=1,"Hit","Miss"),IF(E81=1,"False alarm","Correct rejection"))</f>
        <v>Correct rejection</v>
      </c>
      <c r="I81" s="9" t="str">
        <f aca="false">IF(F81=G81,"","mismatch")</f>
        <v/>
      </c>
    </row>
    <row r="82" customFormat="false" ht="15" hidden="false" customHeight="false" outlineLevel="0" collapsed="false">
      <c r="A82" s="8" t="n">
        <f aca="false">Data!A80+1</f>
        <v>79</v>
      </c>
      <c r="B82" s="8" t="n">
        <f aca="false">Data!H80</f>
        <v>1</v>
      </c>
      <c r="C82" s="9" t="n">
        <f aca="false">ABS(B82)</f>
        <v>1</v>
      </c>
      <c r="D82" s="8" t="str">
        <f aca="false">Data!D80</f>
        <v>up</v>
      </c>
      <c r="E82" s="9" t="n">
        <f aca="false">IF(D82="down",1,0)</f>
        <v>0</v>
      </c>
      <c r="F82" s="8" t="n">
        <f aca="false">Data!E80</f>
        <v>0</v>
      </c>
      <c r="G82" s="9" t="n">
        <f aca="false">IF(B82=0,1-E82,E82)</f>
        <v>0</v>
      </c>
      <c r="H82" s="9" t="str">
        <f aca="false">IF(B82&lt;&gt;0,IF(E82=1,"Hit","Miss"),IF(E82=1,"False alarm","Correct rejection"))</f>
        <v>Miss</v>
      </c>
      <c r="I82" s="9" t="str">
        <f aca="false">IF(F82=G82,"","mismatch")</f>
        <v/>
      </c>
    </row>
    <row r="83" customFormat="false" ht="15" hidden="false" customHeight="false" outlineLevel="0" collapsed="false">
      <c r="A83" s="8" t="n">
        <f aca="false">Data!A81+1</f>
        <v>80</v>
      </c>
      <c r="B83" s="8" t="n">
        <f aca="false">Data!H81</f>
        <v>0</v>
      </c>
      <c r="C83" s="9" t="n">
        <f aca="false">ABS(B83)</f>
        <v>0</v>
      </c>
      <c r="D83" s="8" t="str">
        <f aca="false">Data!D81</f>
        <v>up</v>
      </c>
      <c r="E83" s="9" t="n">
        <f aca="false">IF(D83="down",1,0)</f>
        <v>0</v>
      </c>
      <c r="F83" s="8" t="n">
        <f aca="false">Data!E81</f>
        <v>1</v>
      </c>
      <c r="G83" s="9" t="n">
        <f aca="false">IF(B83=0,1-E83,E83)</f>
        <v>1</v>
      </c>
      <c r="H83" s="9" t="str">
        <f aca="false">IF(B83&lt;&gt;0,IF(E83=1,"Hit","Miss"),IF(E83=1,"False alarm","Correct rejection"))</f>
        <v>Correct rejection</v>
      </c>
      <c r="I83" s="9" t="str">
        <f aca="false">IF(F83=G83,"","mismatch")</f>
        <v/>
      </c>
    </row>
    <row r="84" customFormat="false" ht="15" hidden="false" customHeight="false" outlineLevel="0" collapsed="false">
      <c r="A84" s="8" t="n">
        <f aca="false">Data!A82+1</f>
        <v>81</v>
      </c>
      <c r="B84" s="8" t="n">
        <f aca="false">Data!H82</f>
        <v>-4</v>
      </c>
      <c r="C84" s="9" t="n">
        <f aca="false">ABS(B84)</f>
        <v>4</v>
      </c>
      <c r="D84" s="8" t="str">
        <f aca="false">Data!D82</f>
        <v>down</v>
      </c>
      <c r="E84" s="9" t="n">
        <f aca="false">IF(D84="down",1,0)</f>
        <v>1</v>
      </c>
      <c r="F84" s="8" t="n">
        <f aca="false">Data!E82</f>
        <v>1</v>
      </c>
      <c r="G84" s="9" t="n">
        <f aca="false">IF(B84=0,1-E84,E84)</f>
        <v>1</v>
      </c>
      <c r="H84" s="9" t="str">
        <f aca="false">IF(B84&lt;&gt;0,IF(E84=1,"Hit","Miss"),IF(E84=1,"False alarm","Correct rejection"))</f>
        <v>Hit</v>
      </c>
      <c r="I84" s="9" t="str">
        <f aca="false">IF(F84=G84,"","mismatch")</f>
        <v/>
      </c>
    </row>
    <row r="85" customFormat="false" ht="15" hidden="false" customHeight="false" outlineLevel="0" collapsed="false">
      <c r="A85" s="8" t="n">
        <f aca="false">Data!A83+1</f>
        <v>82</v>
      </c>
      <c r="B85" s="8" t="n">
        <f aca="false">Data!H83</f>
        <v>2</v>
      </c>
      <c r="C85" s="9" t="n">
        <f aca="false">ABS(B85)</f>
        <v>2</v>
      </c>
      <c r="D85" s="8" t="str">
        <f aca="false">Data!D83</f>
        <v>down</v>
      </c>
      <c r="E85" s="9" t="n">
        <f aca="false">IF(D85="down",1,0)</f>
        <v>1</v>
      </c>
      <c r="F85" s="8" t="n">
        <f aca="false">Data!E83</f>
        <v>1</v>
      </c>
      <c r="G85" s="9" t="n">
        <f aca="false">IF(B85=0,1-E85,E85)</f>
        <v>1</v>
      </c>
      <c r="H85" s="9" t="str">
        <f aca="false">IF(B85&lt;&gt;0,IF(E85=1,"Hit","Miss"),IF(E85=1,"False alarm","Correct rejection"))</f>
        <v>Hit</v>
      </c>
      <c r="I85" s="9" t="str">
        <f aca="false">IF(F85=G85,"","mismatch")</f>
        <v/>
      </c>
    </row>
    <row r="86" customFormat="false" ht="15" hidden="false" customHeight="false" outlineLevel="0" collapsed="false">
      <c r="A86" s="8" t="n">
        <f aca="false">Data!A84+1</f>
        <v>83</v>
      </c>
      <c r="B86" s="8" t="n">
        <f aca="false">Data!H84</f>
        <v>0</v>
      </c>
      <c r="C86" s="9" t="n">
        <f aca="false">ABS(B86)</f>
        <v>0</v>
      </c>
      <c r="D86" s="8" t="str">
        <f aca="false">Data!D84</f>
        <v>up</v>
      </c>
      <c r="E86" s="9" t="n">
        <f aca="false">IF(D86="down",1,0)</f>
        <v>0</v>
      </c>
      <c r="F86" s="8" t="n">
        <f aca="false">Data!E84</f>
        <v>1</v>
      </c>
      <c r="G86" s="9" t="n">
        <f aca="false">IF(B86=0,1-E86,E86)</f>
        <v>1</v>
      </c>
      <c r="H86" s="9" t="str">
        <f aca="false">IF(B86&lt;&gt;0,IF(E86=1,"Hit","Miss"),IF(E86=1,"False alarm","Correct rejection"))</f>
        <v>Correct rejection</v>
      </c>
      <c r="I86" s="9" t="str">
        <f aca="false">IF(F86=G86,"","mismatch")</f>
        <v/>
      </c>
    </row>
    <row r="87" customFormat="false" ht="15" hidden="false" customHeight="false" outlineLevel="0" collapsed="false">
      <c r="A87" s="8" t="n">
        <f aca="false">Data!A85+1</f>
        <v>84</v>
      </c>
      <c r="B87" s="8" t="n">
        <f aca="false">Data!H85</f>
        <v>2</v>
      </c>
      <c r="C87" s="9" t="n">
        <f aca="false">ABS(B87)</f>
        <v>2</v>
      </c>
      <c r="D87" s="8" t="str">
        <f aca="false">Data!D85</f>
        <v>up</v>
      </c>
      <c r="E87" s="9" t="n">
        <f aca="false">IF(D87="down",1,0)</f>
        <v>0</v>
      </c>
      <c r="F87" s="8" t="n">
        <f aca="false">Data!E85</f>
        <v>0</v>
      </c>
      <c r="G87" s="9" t="n">
        <f aca="false">IF(B87=0,1-E87,E87)</f>
        <v>0</v>
      </c>
      <c r="H87" s="9" t="str">
        <f aca="false">IF(B87&lt;&gt;0,IF(E87=1,"Hit","Miss"),IF(E87=1,"False alarm","Correct rejection"))</f>
        <v>Miss</v>
      </c>
      <c r="I87" s="9" t="str">
        <f aca="false">IF(F87=G87,"","mismatch")</f>
        <v/>
      </c>
    </row>
    <row r="88" customFormat="false" ht="15" hidden="false" customHeight="false" outlineLevel="0" collapsed="false">
      <c r="A88" s="8" t="n">
        <f aca="false">Data!A86+1</f>
        <v>85</v>
      </c>
      <c r="B88" s="8" t="n">
        <f aca="false">Data!H86</f>
        <v>1</v>
      </c>
      <c r="C88" s="9" t="n">
        <f aca="false">ABS(B88)</f>
        <v>1</v>
      </c>
      <c r="D88" s="8" t="str">
        <f aca="false">Data!D86</f>
        <v>up</v>
      </c>
      <c r="E88" s="9" t="n">
        <f aca="false">IF(D88="down",1,0)</f>
        <v>0</v>
      </c>
      <c r="F88" s="8" t="n">
        <f aca="false">Data!E86</f>
        <v>0</v>
      </c>
      <c r="G88" s="9" t="n">
        <f aca="false">IF(B88=0,1-E88,E88)</f>
        <v>0</v>
      </c>
      <c r="H88" s="9" t="str">
        <f aca="false">IF(B88&lt;&gt;0,IF(E88=1,"Hit","Miss"),IF(E88=1,"False alarm","Correct rejection"))</f>
        <v>Miss</v>
      </c>
      <c r="I88" s="9" t="str">
        <f aca="false">IF(F88=G88,"","mismatch")</f>
        <v/>
      </c>
    </row>
    <row r="89" customFormat="false" ht="15" hidden="false" customHeight="false" outlineLevel="0" collapsed="false">
      <c r="A89" s="8" t="n">
        <f aca="false">Data!A87+1</f>
        <v>86</v>
      </c>
      <c r="B89" s="8" t="n">
        <f aca="false">Data!H87</f>
        <v>0</v>
      </c>
      <c r="C89" s="9" t="n">
        <f aca="false">ABS(B89)</f>
        <v>0</v>
      </c>
      <c r="D89" s="8" t="str">
        <f aca="false">Data!D87</f>
        <v>up</v>
      </c>
      <c r="E89" s="9" t="n">
        <f aca="false">IF(D89="down",1,0)</f>
        <v>0</v>
      </c>
      <c r="F89" s="8" t="n">
        <f aca="false">Data!E87</f>
        <v>1</v>
      </c>
      <c r="G89" s="9" t="n">
        <f aca="false">IF(B89=0,1-E89,E89)</f>
        <v>1</v>
      </c>
      <c r="H89" s="9" t="str">
        <f aca="false">IF(B89&lt;&gt;0,IF(E89=1,"Hit","Miss"),IF(E89=1,"False alarm","Correct rejection"))</f>
        <v>Correct rejection</v>
      </c>
      <c r="I89" s="9" t="str">
        <f aca="false">IF(F89=G89,"","mismatch")</f>
        <v/>
      </c>
    </row>
    <row r="90" customFormat="false" ht="15" hidden="false" customHeight="false" outlineLevel="0" collapsed="false">
      <c r="A90" s="8" t="n">
        <f aca="false">Data!A88+1</f>
        <v>87</v>
      </c>
      <c r="B90" s="8" t="n">
        <f aca="false">Data!H88</f>
        <v>-1</v>
      </c>
      <c r="C90" s="9" t="n">
        <f aca="false">ABS(B90)</f>
        <v>1</v>
      </c>
      <c r="D90" s="8" t="str">
        <f aca="false">Data!D88</f>
        <v>up</v>
      </c>
      <c r="E90" s="9" t="n">
        <f aca="false">IF(D90="down",1,0)</f>
        <v>0</v>
      </c>
      <c r="F90" s="8" t="n">
        <f aca="false">Data!E88</f>
        <v>0</v>
      </c>
      <c r="G90" s="9" t="n">
        <f aca="false">IF(B90=0,1-E90,E90)</f>
        <v>0</v>
      </c>
      <c r="H90" s="9" t="str">
        <f aca="false">IF(B90&lt;&gt;0,IF(E90=1,"Hit","Miss"),IF(E90=1,"False alarm","Correct rejection"))</f>
        <v>Miss</v>
      </c>
      <c r="I90" s="9" t="str">
        <f aca="false">IF(F90=G90,"","mismatch")</f>
        <v/>
      </c>
    </row>
    <row r="91" customFormat="false" ht="15" hidden="false" customHeight="false" outlineLevel="0" collapsed="false">
      <c r="A91" s="8" t="n">
        <f aca="false">Data!A89+1</f>
        <v>88</v>
      </c>
      <c r="B91" s="8" t="n">
        <f aca="false">Data!H89</f>
        <v>-2</v>
      </c>
      <c r="C91" s="9" t="n">
        <f aca="false">ABS(B91)</f>
        <v>2</v>
      </c>
      <c r="D91" s="8" t="str">
        <f aca="false">Data!D89</f>
        <v>up</v>
      </c>
      <c r="E91" s="9" t="n">
        <f aca="false">IF(D91="down",1,0)</f>
        <v>0</v>
      </c>
      <c r="F91" s="8" t="n">
        <f aca="false">Data!E89</f>
        <v>0</v>
      </c>
      <c r="G91" s="9" t="n">
        <f aca="false">IF(B91=0,1-E91,E91)</f>
        <v>0</v>
      </c>
      <c r="H91" s="9" t="str">
        <f aca="false">IF(B91&lt;&gt;0,IF(E91=1,"Hit","Miss"),IF(E91=1,"False alarm","Correct rejection"))</f>
        <v>Miss</v>
      </c>
      <c r="I91" s="9" t="str">
        <f aca="false">IF(F91=G91,"","mismatch")</f>
        <v/>
      </c>
    </row>
    <row r="92" customFormat="false" ht="15" hidden="false" customHeight="false" outlineLevel="0" collapsed="false">
      <c r="A92" s="8" t="n">
        <f aca="false">Data!A90+1</f>
        <v>89</v>
      </c>
      <c r="B92" s="8" t="n">
        <f aca="false">Data!H90</f>
        <v>0</v>
      </c>
      <c r="C92" s="9" t="n">
        <f aca="false">ABS(B92)</f>
        <v>0</v>
      </c>
      <c r="D92" s="8" t="str">
        <f aca="false">Data!D90</f>
        <v>up</v>
      </c>
      <c r="E92" s="9" t="n">
        <f aca="false">IF(D92="down",1,0)</f>
        <v>0</v>
      </c>
      <c r="F92" s="8" t="n">
        <f aca="false">Data!E90</f>
        <v>1</v>
      </c>
      <c r="G92" s="9" t="n">
        <f aca="false">IF(B92=0,1-E92,E92)</f>
        <v>1</v>
      </c>
      <c r="H92" s="9" t="str">
        <f aca="false">IF(B92&lt;&gt;0,IF(E92=1,"Hit","Miss"),IF(E92=1,"False alarm","Correct rejection"))</f>
        <v>Correct rejection</v>
      </c>
      <c r="I92" s="9" t="str">
        <f aca="false">IF(F92=G92,"","mismatch")</f>
        <v/>
      </c>
    </row>
    <row r="93" customFormat="false" ht="15" hidden="false" customHeight="false" outlineLevel="0" collapsed="false">
      <c r="A93" s="8" t="n">
        <f aca="false">Data!A91+1</f>
        <v>90</v>
      </c>
      <c r="B93" s="8" t="n">
        <f aca="false">Data!H91</f>
        <v>0</v>
      </c>
      <c r="C93" s="9" t="n">
        <f aca="false">ABS(B93)</f>
        <v>0</v>
      </c>
      <c r="D93" s="8" t="str">
        <f aca="false">Data!D91</f>
        <v>up</v>
      </c>
      <c r="E93" s="9" t="n">
        <f aca="false">IF(D93="down",1,0)</f>
        <v>0</v>
      </c>
      <c r="F93" s="8" t="n">
        <f aca="false">Data!E91</f>
        <v>1</v>
      </c>
      <c r="G93" s="9" t="n">
        <f aca="false">IF(B93=0,1-E93,E93)</f>
        <v>1</v>
      </c>
      <c r="H93" s="9" t="str">
        <f aca="false">IF(B93&lt;&gt;0,IF(E93=1,"Hit","Miss"),IF(E93=1,"False alarm","Correct rejection"))</f>
        <v>Correct rejection</v>
      </c>
      <c r="I93" s="9" t="str">
        <f aca="false">IF(F93=G93,"","mismatch")</f>
        <v/>
      </c>
    </row>
    <row r="94" customFormat="false" ht="15" hidden="false" customHeight="false" outlineLevel="0" collapsed="false">
      <c r="A94" s="8" t="n">
        <f aca="false">Data!A92+1</f>
        <v>91</v>
      </c>
      <c r="B94" s="8" t="n">
        <f aca="false">Data!H92</f>
        <v>0</v>
      </c>
      <c r="C94" s="9" t="n">
        <f aca="false">ABS(B94)</f>
        <v>0</v>
      </c>
      <c r="D94" s="8" t="str">
        <f aca="false">Data!D92</f>
        <v>up</v>
      </c>
      <c r="E94" s="9" t="n">
        <f aca="false">IF(D94="down",1,0)</f>
        <v>0</v>
      </c>
      <c r="F94" s="8" t="n">
        <f aca="false">Data!E92</f>
        <v>1</v>
      </c>
      <c r="G94" s="9" t="n">
        <f aca="false">IF(B94=0,1-E94,E94)</f>
        <v>1</v>
      </c>
      <c r="H94" s="9" t="str">
        <f aca="false">IF(B94&lt;&gt;0,IF(E94=1,"Hit","Miss"),IF(E94=1,"False alarm","Correct rejection"))</f>
        <v>Correct rejection</v>
      </c>
      <c r="I94" s="9" t="str">
        <f aca="false">IF(F94=G94,"","mismatch")</f>
        <v/>
      </c>
    </row>
    <row r="95" customFormat="false" ht="15" hidden="false" customHeight="false" outlineLevel="0" collapsed="false">
      <c r="A95" s="8" t="n">
        <f aca="false">Data!A93+1</f>
        <v>92</v>
      </c>
      <c r="B95" s="8" t="n">
        <f aca="false">Data!H93</f>
        <v>0</v>
      </c>
      <c r="C95" s="9" t="n">
        <f aca="false">ABS(B95)</f>
        <v>0</v>
      </c>
      <c r="D95" s="8" t="str">
        <f aca="false">Data!D93</f>
        <v>up</v>
      </c>
      <c r="E95" s="9" t="n">
        <f aca="false">IF(D95="down",1,0)</f>
        <v>0</v>
      </c>
      <c r="F95" s="8" t="n">
        <f aca="false">Data!E93</f>
        <v>0</v>
      </c>
      <c r="G95" s="9" t="n">
        <f aca="false">IF(B95=0,1-E95,E95)</f>
        <v>1</v>
      </c>
      <c r="H95" s="9" t="str">
        <f aca="false">IF(B95&lt;&gt;0,IF(E95=1,"Hit","Miss"),IF(E95=1,"False alarm","Correct rejection"))</f>
        <v>Correct rejection</v>
      </c>
      <c r="I95" s="9" t="str">
        <f aca="false">IF(F95=G95,"","mismatch")</f>
        <v>mismatch</v>
      </c>
    </row>
    <row r="96" customFormat="false" ht="15" hidden="false" customHeight="false" outlineLevel="0" collapsed="false">
      <c r="A96" s="8" t="n">
        <f aca="false">Data!A94+1</f>
        <v>93</v>
      </c>
      <c r="B96" s="8" t="n">
        <f aca="false">Data!H94</f>
        <v>0</v>
      </c>
      <c r="C96" s="9" t="n">
        <f aca="false">ABS(B96)</f>
        <v>0</v>
      </c>
      <c r="D96" s="8" t="str">
        <f aca="false">Data!D94</f>
        <v>up</v>
      </c>
      <c r="E96" s="9" t="n">
        <f aca="false">IF(D96="down",1,0)</f>
        <v>0</v>
      </c>
      <c r="F96" s="8" t="n">
        <f aca="false">Data!E94</f>
        <v>1</v>
      </c>
      <c r="G96" s="9" t="n">
        <f aca="false">IF(B96=0,1-E96,E96)</f>
        <v>1</v>
      </c>
      <c r="H96" s="9" t="str">
        <f aca="false">IF(B96&lt;&gt;0,IF(E96=1,"Hit","Miss"),IF(E96=1,"False alarm","Correct rejection"))</f>
        <v>Correct rejection</v>
      </c>
      <c r="I96" s="9" t="str">
        <f aca="false">IF(F96=G96,"","mismatch")</f>
        <v/>
      </c>
    </row>
    <row r="97" customFormat="false" ht="15" hidden="false" customHeight="false" outlineLevel="0" collapsed="false">
      <c r="A97" s="8" t="n">
        <f aca="false">Data!A95+1</f>
        <v>94</v>
      </c>
      <c r="B97" s="8" t="n">
        <f aca="false">Data!H95</f>
        <v>-3</v>
      </c>
      <c r="C97" s="9" t="n">
        <f aca="false">ABS(B97)</f>
        <v>3</v>
      </c>
      <c r="D97" s="8" t="str">
        <f aca="false">Data!D95</f>
        <v>up</v>
      </c>
      <c r="E97" s="9" t="n">
        <f aca="false">IF(D97="down",1,0)</f>
        <v>0</v>
      </c>
      <c r="F97" s="8" t="n">
        <f aca="false">Data!E95</f>
        <v>0</v>
      </c>
      <c r="G97" s="9" t="n">
        <f aca="false">IF(B97=0,1-E97,E97)</f>
        <v>0</v>
      </c>
      <c r="H97" s="9" t="str">
        <f aca="false">IF(B97&lt;&gt;0,IF(E97=1,"Hit","Miss"),IF(E97=1,"False alarm","Correct rejection"))</f>
        <v>Miss</v>
      </c>
      <c r="I97" s="9" t="str">
        <f aca="false">IF(F97=G97,"","mismatch")</f>
        <v/>
      </c>
    </row>
    <row r="98" customFormat="false" ht="15" hidden="false" customHeight="false" outlineLevel="0" collapsed="false">
      <c r="A98" s="8" t="n">
        <f aca="false">Data!A96+1</f>
        <v>95</v>
      </c>
      <c r="B98" s="8" t="n">
        <f aca="false">Data!H96</f>
        <v>-5</v>
      </c>
      <c r="C98" s="9" t="n">
        <f aca="false">ABS(B98)</f>
        <v>5</v>
      </c>
      <c r="D98" s="8" t="str">
        <f aca="false">Data!D96</f>
        <v>down</v>
      </c>
      <c r="E98" s="9" t="n">
        <f aca="false">IF(D98="down",1,0)</f>
        <v>1</v>
      </c>
      <c r="F98" s="8" t="n">
        <f aca="false">Data!E96</f>
        <v>1</v>
      </c>
      <c r="G98" s="9" t="n">
        <f aca="false">IF(B98=0,1-E98,E98)</f>
        <v>1</v>
      </c>
      <c r="H98" s="9" t="str">
        <f aca="false">IF(B98&lt;&gt;0,IF(E98=1,"Hit","Miss"),IF(E98=1,"False alarm","Correct rejection"))</f>
        <v>Hit</v>
      </c>
      <c r="I98" s="9" t="str">
        <f aca="false">IF(F98=G98,"","mismatch")</f>
        <v/>
      </c>
    </row>
    <row r="99" customFormat="false" ht="15" hidden="false" customHeight="false" outlineLevel="0" collapsed="false">
      <c r="A99" s="8" t="n">
        <f aca="false">Data!A97+1</f>
        <v>96</v>
      </c>
      <c r="B99" s="8" t="n">
        <f aca="false">Data!H97</f>
        <v>0</v>
      </c>
      <c r="C99" s="9" t="n">
        <f aca="false">ABS(B99)</f>
        <v>0</v>
      </c>
      <c r="D99" s="8" t="str">
        <f aca="false">Data!D97</f>
        <v>up</v>
      </c>
      <c r="E99" s="9" t="n">
        <f aca="false">IF(D99="down",1,0)</f>
        <v>0</v>
      </c>
      <c r="F99" s="8" t="n">
        <f aca="false">Data!E97</f>
        <v>1</v>
      </c>
      <c r="G99" s="9" t="n">
        <f aca="false">IF(B99=0,1-E99,E99)</f>
        <v>1</v>
      </c>
      <c r="H99" s="9" t="str">
        <f aca="false">IF(B99&lt;&gt;0,IF(E99=1,"Hit","Miss"),IF(E99=1,"False alarm","Correct rejection"))</f>
        <v>Correct rejection</v>
      </c>
      <c r="I99" s="9" t="str">
        <f aca="false">IF(F99=G99,"","mismatch")</f>
        <v/>
      </c>
    </row>
    <row r="100" customFormat="false" ht="15" hidden="false" customHeight="false" outlineLevel="0" collapsed="false">
      <c r="A100" s="8" t="n">
        <f aca="false">Data!A98+1</f>
        <v>97</v>
      </c>
      <c r="B100" s="8" t="n">
        <f aca="false">Data!H98</f>
        <v>4</v>
      </c>
      <c r="C100" s="9" t="n">
        <f aca="false">ABS(B100)</f>
        <v>4</v>
      </c>
      <c r="D100" s="8" t="str">
        <f aca="false">Data!D98</f>
        <v>down</v>
      </c>
      <c r="E100" s="9" t="n">
        <f aca="false">IF(D100="down",1,0)</f>
        <v>1</v>
      </c>
      <c r="F100" s="8" t="n">
        <f aca="false">Data!E98</f>
        <v>1</v>
      </c>
      <c r="G100" s="9" t="n">
        <f aca="false">IF(B100=0,1-E100,E100)</f>
        <v>1</v>
      </c>
      <c r="H100" s="9" t="str">
        <f aca="false">IF(B100&lt;&gt;0,IF(E100=1,"Hit","Miss"),IF(E100=1,"False alarm","Correct rejection"))</f>
        <v>Hit</v>
      </c>
      <c r="I100" s="9" t="str">
        <f aca="false">IF(F100=G100,"","mismatch")</f>
        <v/>
      </c>
    </row>
    <row r="101" customFormat="false" ht="15" hidden="false" customHeight="false" outlineLevel="0" collapsed="false">
      <c r="A101" s="8" t="n">
        <f aca="false">Data!A99+1</f>
        <v>98</v>
      </c>
      <c r="B101" s="8" t="n">
        <f aca="false">Data!H99</f>
        <v>-3</v>
      </c>
      <c r="C101" s="9" t="n">
        <f aca="false">ABS(B101)</f>
        <v>3</v>
      </c>
      <c r="D101" s="8" t="str">
        <f aca="false">Data!D99</f>
        <v>up</v>
      </c>
      <c r="E101" s="9" t="n">
        <f aca="false">IF(D101="down",1,0)</f>
        <v>0</v>
      </c>
      <c r="F101" s="8" t="n">
        <f aca="false">Data!E99</f>
        <v>0</v>
      </c>
      <c r="G101" s="9" t="n">
        <f aca="false">IF(B101=0,1-E101,E101)</f>
        <v>0</v>
      </c>
      <c r="H101" s="9" t="str">
        <f aca="false">IF(B101&lt;&gt;0,IF(E101=1,"Hit","Miss"),IF(E101=1,"False alarm","Correct rejection"))</f>
        <v>Miss</v>
      </c>
      <c r="I101" s="9" t="str">
        <f aca="false">IF(F101=G101,"","mismatch")</f>
        <v/>
      </c>
    </row>
    <row r="102" customFormat="false" ht="15" hidden="false" customHeight="false" outlineLevel="0" collapsed="false">
      <c r="A102" s="8" t="n">
        <f aca="false">Data!A100+1</f>
        <v>99</v>
      </c>
      <c r="B102" s="8" t="n">
        <f aca="false">Data!H100</f>
        <v>0</v>
      </c>
      <c r="C102" s="9" t="n">
        <f aca="false">ABS(B102)</f>
        <v>0</v>
      </c>
      <c r="D102" s="8" t="str">
        <f aca="false">Data!D100</f>
        <v>down</v>
      </c>
      <c r="E102" s="9" t="n">
        <f aca="false">IF(D102="down",1,0)</f>
        <v>1</v>
      </c>
      <c r="F102" s="8" t="n">
        <f aca="false">Data!E100</f>
        <v>0</v>
      </c>
      <c r="G102" s="9" t="n">
        <f aca="false">IF(B102=0,1-E102,E102)</f>
        <v>0</v>
      </c>
      <c r="H102" s="9" t="str">
        <f aca="false">IF(B102&lt;&gt;0,IF(E102=1,"Hit","Miss"),IF(E102=1,"False alarm","Correct rejection"))</f>
        <v>False alarm</v>
      </c>
      <c r="I102" s="9" t="str">
        <f aca="false">IF(F102=G102,"","mismatch")</f>
        <v/>
      </c>
    </row>
    <row r="103" customFormat="false" ht="15" hidden="false" customHeight="false" outlineLevel="0" collapsed="false">
      <c r="A103" s="8" t="n">
        <f aca="false">Data!A101+1</f>
        <v>100</v>
      </c>
      <c r="B103" s="8" t="n">
        <f aca="false">Data!H101</f>
        <v>-4</v>
      </c>
      <c r="C103" s="9" t="n">
        <f aca="false">ABS(B103)</f>
        <v>4</v>
      </c>
      <c r="D103" s="8" t="str">
        <f aca="false">Data!D101</f>
        <v>up</v>
      </c>
      <c r="E103" s="9" t="n">
        <f aca="false">IF(D103="down",1,0)</f>
        <v>0</v>
      </c>
      <c r="F103" s="8" t="n">
        <f aca="false">Data!E101</f>
        <v>0</v>
      </c>
      <c r="G103" s="9" t="n">
        <f aca="false">IF(B103=0,1-E103,E103)</f>
        <v>0</v>
      </c>
      <c r="H103" s="9" t="str">
        <f aca="false">IF(B103&lt;&gt;0,IF(E103=1,"Hit","Miss"),IF(E103=1,"False alarm","Correct rejection"))</f>
        <v>Miss</v>
      </c>
      <c r="I103" s="9" t="str">
        <f aca="false">IF(F103=G103,"","mismatch")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4" t="s">
        <v>85</v>
      </c>
    </row>
    <row r="16" customFormat="false" ht="15" hidden="false" customHeight="false" outlineLevel="0" collapsed="false">
      <c r="A16" s="20" t="s">
        <v>86</v>
      </c>
    </row>
    <row r="34" customFormat="false" ht="15" hidden="false" customHeight="false" outlineLevel="0" collapsed="false">
      <c r="A34" s="20" t="s">
        <v>87</v>
      </c>
    </row>
    <row r="53" customFormat="false" ht="15" hidden="false" customHeight="false" outlineLevel="0" collapsed="false">
      <c r="A53" s="20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2026-10-07T19:15:16Z</dcterms:created>
  <dc:creator>openpyxl</dc:creator>
  <dc:description/>
  <dc:language>en-US</dc:language>
  <cp:lastModifiedBy/>
  <dcterms:modified xsi:type="dcterms:W3CDTF">2026-10-07T19:15:16Z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